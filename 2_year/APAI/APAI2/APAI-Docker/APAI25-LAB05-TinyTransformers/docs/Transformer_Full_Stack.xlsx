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 Benini\Dropbox\APAI25\YehExcel\"/>
    </mc:Choice>
  </mc:AlternateContent>
  <xr:revisionPtr revIDLastSave="0" documentId="8_{9C0C4704-9FD5-4D54-95EE-B801999DCB39}" xr6:coauthVersionLast="47" xr6:coauthVersionMax="47" xr10:uidLastSave="{00000000-0000-0000-0000-000000000000}"/>
  <bookViews>
    <workbookView xWindow="-96" yWindow="-96" windowWidth="23232" windowHeight="13872" xr2:uid="{6C57E9C0-AFE5-7D46-AE41-001D31DB127A}"/>
  </bookViews>
  <sheets>
    <sheet name="Transformer " sheetId="67" r:id="rId1"/>
    <sheet name="LICENSE" sheetId="68" r:id="rId2"/>
  </sheets>
  <definedNames>
    <definedName name="FOLD">_xlfn.LAMBDA(_xlpm.array,_xlpm.image_width,  _xlfn.LET(  _xlpm.n, COUNT(_xlpm.array),  _xlpm.w, _xlpm.image_width,  _xlpm.h, CEILING(_xlpm.n / _xlpm.w, 1),  INDEX(_xlpm.array, _xlfn.SEQUENCE(_xlpm.h,_xlpm.w))  ))</definedName>
    <definedName name="NORMALIZE">_xlfn.LAMBDA(_xlpm.x, _xlfn.LET(_xlpm.mu, AVERAGE(_xlpm.x), _xlpm.delta, STDEV(_xlpm.x), (_xlpm.x - _xlpm.mu)/(_xlpm.delta+0.001)))</definedName>
    <definedName name="PE">_xlfn.LAMBDA(_xlpm.d,_xlpm.L,_xlpm.n, _xlfn.MAKEARRAY(_xlpm.d,_xlpm.L, _xlfn.LAMBDA(_xlpm.k,_xlpm.T,_xlfn.LET(_xlpm.i,_xlpm.T/2,_xlpm.p,_xlpm.k/(_xlpm.n^(2*_xlpm.i/_xlpm.d)),IF(ISEVEN(_xlpm.k),SIN(_xlpm.p),COS(_xlpm.p))))))</definedName>
    <definedName name="RELU">_xlfn.LAMBDA(_xlpm.array, _xlfn.MAP(_xlpm.array,_xlfn.LAMBDA(_xlpm.x, MAX(_xlpm.x,0))))</definedName>
    <definedName name="SOFTMAX">_xlfn.LAMBDA(_xlpm.x, _xlfn.LET(_xlpm.s,  SUM(EXP(_xlpm.x)), EXP(_xlpm.x) / _xlpm.s))</definedName>
    <definedName name="UNFOLD">_xlfn.LAMBDA(_xlpm.image,_xlpm.filter_size,_xlpm.stride,_xlpm.padding,_xlpm.pad_with,  _xlfn.LET(_xlpm.o, _xlpm.image,  _xlpm.h, ROWS(_xlpm.o),  _xlpm.w, COLUMNS(_xlpm.o),  _xlpm.ph, _xlpm.h+_xlpm.padding,  _xlpm.pw, _xlpm.w+_xlpm.padding,  _xlpm.pimg, _xlfn.EXPAND(_xlpm.o, _xlpm.h+_xlpm.padding, _xlpm.w+_xlpm.padding, _xlpm.pad_with),  _xlpm.d, _xlpm.filter_size,  _xlpm.s, _xlpm.stride,  _xlpm.hs, _xlpm.h/_xlpm.s, _xlpm.ws, _xlpm.w/_xlpm.s,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INDEX(_xlpm.pimg,_xlpm.r,_xlpm.c))))) 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111" i="67" l="1" a="1"/>
  <c r="DA111" i="67" s="1"/>
  <c r="DA133" i="67" a="1"/>
  <c r="DA133" i="67" s="1"/>
  <c r="AM83" i="67" a="1"/>
  <c r="AM83" i="67" s="1"/>
  <c r="CL424" i="67"/>
  <c r="CJ429" i="67" a="1"/>
  <c r="CJ429" i="67" s="1"/>
  <c r="CH429" i="67" a="1"/>
  <c r="CH429" i="67" s="1"/>
  <c r="CH397" i="67" a="1"/>
  <c r="CH397" i="67" s="1"/>
  <c r="CF12" i="67" a="1"/>
  <c r="CF12" i="67" s="1"/>
  <c r="CR12" i="67" s="1" a="1"/>
  <c r="CR12" i="67" s="1"/>
  <c r="T21" i="67" a="1"/>
  <c r="T21" i="67" s="1"/>
  <c r="AE21" i="67" s="1" a="1"/>
  <c r="AE21" i="67" s="1"/>
  <c r="DA63" i="67" a="1"/>
  <c r="DA63" i="67" s="1"/>
  <c r="BZ52" i="67" a="1"/>
  <c r="BZ52" i="67" s="1"/>
  <c r="CJ397" i="67" a="1"/>
  <c r="CJ397" i="67" s="1"/>
  <c r="BY367" i="67" a="1"/>
  <c r="BY367" i="67" s="1"/>
  <c r="O50" i="67" a="1"/>
  <c r="O50" i="67" s="1"/>
  <c r="BJ40" i="67" a="1"/>
  <c r="BJ40" i="67" s="1"/>
  <c r="C40" i="67" a="1"/>
  <c r="C40" i="67" s="1"/>
  <c r="V21" i="67" a="1"/>
  <c r="V21" i="67" s="1"/>
  <c r="CH12" i="67" a="1"/>
  <c r="CH12" i="67" s="1"/>
  <c r="CN12" i="67" l="1" a="1"/>
  <c r="CN12" i="67" s="1"/>
  <c r="CS12" i="67" a="1"/>
  <c r="CS12" i="67" s="1"/>
  <c r="CQ12" i="67" a="1"/>
  <c r="CQ12" i="67" s="1"/>
  <c r="CP12" i="67" a="1"/>
  <c r="CP12" i="67" s="1"/>
  <c r="CO12" i="67" a="1"/>
  <c r="CO12" i="67" s="1"/>
  <c r="CL12" i="67" a="1"/>
  <c r="CL12" i="67" s="1"/>
  <c r="CM12" i="67" a="1"/>
  <c r="CM12" i="67" s="1"/>
  <c r="Z21" i="67" a="1"/>
  <c r="Z21" i="67" s="1"/>
  <c r="AA21" i="67" a="1"/>
  <c r="AA21" i="67" s="1"/>
  <c r="AB21" i="67" a="1"/>
  <c r="AB21" i="67" s="1"/>
  <c r="AC21" i="67" a="1"/>
  <c r="AC21" i="67" s="1"/>
  <c r="AD21" i="67" a="1"/>
  <c r="AD21" i="67" s="1"/>
  <c r="Z41" i="67" l="1" a="1"/>
  <c r="Z41" i="67" s="1"/>
  <c r="Z50" i="67" s="1" a="1"/>
  <c r="Z50" i="67" s="1"/>
  <c r="CL41" i="67" l="1" a="1"/>
  <c r="CL41" i="67" s="1"/>
  <c r="CL52" i="67" s="1" a="1"/>
  <c r="CL52" i="67" s="1"/>
  <c r="Z80" i="67" a="1"/>
  <c r="Z93" i="67" a="1"/>
  <c r="Z67" i="67" a="1"/>
  <c r="Z67" i="67" l="1"/>
  <c r="AM67" i="67" s="1" a="1"/>
  <c r="AM67" i="67" s="1"/>
  <c r="AM92" i="67" a="1"/>
  <c r="AM92" i="67" s="1"/>
  <c r="Z93" i="67"/>
  <c r="AM108" i="67" a="1"/>
  <c r="AM108" i="67" s="1"/>
  <c r="Z80" i="67"/>
  <c r="AI73" i="67" s="1" a="1"/>
  <c r="AI73" i="67" s="1"/>
  <c r="AM73" i="67" s="1" a="1"/>
  <c r="AI98" i="67" a="1"/>
  <c r="AI98" i="67" s="1"/>
  <c r="AM98" i="67" s="1" a="1"/>
  <c r="AM98" i="67" s="1"/>
  <c r="CL80" i="67" a="1"/>
  <c r="CL67" i="67" a="1"/>
  <c r="CL93" i="67" a="1"/>
  <c r="CL93" i="67" l="1"/>
  <c r="DA89" i="67" s="1" a="1"/>
  <c r="DA89" i="67" s="1"/>
  <c r="DA95" i="67" a="1"/>
  <c r="DA95" i="67" s="1"/>
  <c r="CL67" i="67"/>
  <c r="DA73" i="67" s="1" a="1"/>
  <c r="DA73" i="67" s="1"/>
  <c r="DA117" i="67" a="1"/>
  <c r="DA117" i="67" s="1"/>
  <c r="CL80" i="67"/>
  <c r="CW79" i="67" s="1" a="1"/>
  <c r="CW79" i="67" s="1"/>
  <c r="CW101" i="67" a="1"/>
  <c r="CW101" i="67" s="1"/>
  <c r="DA101" i="67" s="1" a="1"/>
  <c r="DA101" i="67" s="1"/>
  <c r="CW123" i="67" a="1"/>
  <c r="CW123" i="67" s="1"/>
  <c r="DA123" i="67" s="1" a="1"/>
  <c r="DA123" i="67" s="1"/>
  <c r="AX98" i="67" a="1"/>
  <c r="AX98" i="67" s="1"/>
  <c r="AW98" i="67" a="1"/>
  <c r="AW98" i="67" s="1"/>
  <c r="BB98" i="67" a="1"/>
  <c r="BB98" i="67" s="1"/>
  <c r="BA98" i="67" a="1"/>
  <c r="BA98" i="67" s="1"/>
  <c r="AY98" i="67" a="1"/>
  <c r="AY98" i="67" s="1"/>
  <c r="AZ98" i="67" a="1"/>
  <c r="AZ98" i="67" s="1"/>
  <c r="AM73" i="67"/>
  <c r="AW73" i="67" s="1" a="1"/>
  <c r="AW73" i="67" s="1"/>
  <c r="BB73" i="67" a="1"/>
  <c r="BB73" i="67" s="1"/>
  <c r="BA73" i="67" a="1"/>
  <c r="BA73" i="67" s="1"/>
  <c r="AZ73" i="67" a="1"/>
  <c r="AZ73" i="67" s="1"/>
  <c r="AY73" i="67" a="1"/>
  <c r="AY73" i="67" s="1"/>
  <c r="AX73" i="67" a="1"/>
  <c r="AX73" i="67" s="1"/>
  <c r="DA79" i="67" l="1" a="1"/>
  <c r="DA79" i="67" s="1"/>
  <c r="DK79" i="67" s="1" a="1"/>
  <c r="DK79" i="67" s="1"/>
  <c r="AW83" i="67" a="1"/>
  <c r="AW83" i="67" s="1"/>
  <c r="AW114" i="67" s="1" a="1"/>
  <c r="AW114" i="67" s="1"/>
  <c r="AW108" i="67" a="1"/>
  <c r="AW108" i="67" s="1"/>
  <c r="AW117" i="67" s="1" a="1"/>
  <c r="AW117" i="67" s="1"/>
  <c r="DK101" i="67" a="1"/>
  <c r="DK101" i="67" s="1"/>
  <c r="DL101" i="67" l="1" a="1"/>
  <c r="DL101" i="67" s="1"/>
  <c r="DM101" i="67" a="1"/>
  <c r="DM101" i="67" s="1"/>
  <c r="DN101" i="67" a="1"/>
  <c r="DN101" i="67" s="1"/>
  <c r="DP101" i="67" a="1"/>
  <c r="DP101" i="67" s="1"/>
  <c r="DR101" i="67" a="1"/>
  <c r="DR101" i="67" s="1"/>
  <c r="DQ101" i="67" a="1"/>
  <c r="DQ101" i="67" s="1"/>
  <c r="DO101" i="67" a="1"/>
  <c r="DO101" i="67" s="1"/>
  <c r="AW121" i="67" a="1"/>
  <c r="AW121" i="67" s="1"/>
  <c r="Z133" i="67" s="1" a="1"/>
  <c r="DP79" i="67" a="1"/>
  <c r="DP79" i="67" s="1"/>
  <c r="DL79" i="67" a="1"/>
  <c r="DL79" i="67" s="1"/>
  <c r="DQ79" i="67" a="1"/>
  <c r="DQ79" i="67" s="1"/>
  <c r="DR79" i="67" a="1"/>
  <c r="DR79" i="67" s="1"/>
  <c r="DM79" i="67" a="1"/>
  <c r="DM79" i="67" s="1"/>
  <c r="DN79" i="67" a="1"/>
  <c r="DN79" i="67" s="1"/>
  <c r="DO79" i="67" a="1"/>
  <c r="DO79" i="67" s="1"/>
  <c r="DQ123" i="67" a="1"/>
  <c r="DQ123" i="67" s="1"/>
  <c r="DK123" i="67" a="1"/>
  <c r="DK123" i="67" s="1"/>
  <c r="DP123" i="67" a="1"/>
  <c r="DP123" i="67" s="1"/>
  <c r="DO123" i="67" a="1"/>
  <c r="DO123" i="67" s="1"/>
  <c r="DN123" i="67" a="1"/>
  <c r="DN123" i="67" s="1"/>
  <c r="DM123" i="67" a="1"/>
  <c r="DM123" i="67" s="1"/>
  <c r="DR123" i="67" a="1"/>
  <c r="DR123" i="67" s="1"/>
  <c r="DL123" i="67" a="1"/>
  <c r="DL123" i="67" s="1"/>
  <c r="DK111" i="67" l="1" a="1"/>
  <c r="DK111" i="67" s="1"/>
  <c r="DK142" i="67" s="1" a="1"/>
  <c r="DK142" i="67" s="1"/>
  <c r="AE140" i="67" a="1"/>
  <c r="AE140" i="67" s="1"/>
  <c r="AD140" i="67" a="1"/>
  <c r="AD140" i="67" s="1"/>
  <c r="AC140" i="67" a="1"/>
  <c r="AC140" i="67" s="1"/>
  <c r="Z133" i="67"/>
  <c r="Z140" i="67" s="1" a="1"/>
  <c r="Z140" i="67" s="1"/>
  <c r="AA140" i="67" a="1"/>
  <c r="AA140" i="67" s="1"/>
  <c r="AB140" i="67" a="1"/>
  <c r="AB140" i="67" s="1"/>
  <c r="DK89" i="67" a="1"/>
  <c r="DK89" i="67" s="1"/>
  <c r="DK139" i="67" s="1" a="1"/>
  <c r="DK139" i="67" s="1"/>
  <c r="DK133" i="67" a="1"/>
  <c r="DK133" i="67" s="1"/>
  <c r="DK145" i="67" s="1" a="1"/>
  <c r="DK145" i="67" s="1"/>
  <c r="Z147" i="67" l="1" a="1"/>
  <c r="Z147" i="67" s="1"/>
  <c r="Z158" i="67" s="1" a="1"/>
  <c r="Z158" i="67" s="1"/>
  <c r="Z172" i="67" s="1" a="1"/>
  <c r="Z172" i="67" s="1"/>
  <c r="Z186" i="67" s="1" a="1"/>
  <c r="Z186" i="67" s="1"/>
  <c r="Z193" i="67" s="1" a="1"/>
  <c r="Z193" i="67" s="1"/>
  <c r="Z204" i="67" s="1" a="1"/>
  <c r="DK149" i="67" a="1"/>
  <c r="DK149" i="67" s="1"/>
  <c r="CL161" i="67" s="1" a="1"/>
  <c r="AC211" i="67" l="1" a="1"/>
  <c r="AC211" i="67" s="1"/>
  <c r="AA211" i="67" a="1"/>
  <c r="AA211" i="67" s="1"/>
  <c r="AE211" i="67" a="1"/>
  <c r="AE211" i="67" s="1"/>
  <c r="Z204" i="67"/>
  <c r="Z211" i="67" s="1" a="1"/>
  <c r="Z211" i="67" s="1"/>
  <c r="AB211" i="67" a="1"/>
  <c r="AB211" i="67" s="1"/>
  <c r="AD211" i="67" a="1"/>
  <c r="AD211" i="67" s="1"/>
  <c r="CR169" i="67" a="1"/>
  <c r="CR169" i="67" s="1"/>
  <c r="CL161" i="67"/>
  <c r="CL169" i="67" s="1" a="1"/>
  <c r="CL169" i="67" s="1"/>
  <c r="CO169" i="67" a="1"/>
  <c r="CO169" i="67" s="1"/>
  <c r="CQ169" i="67" a="1"/>
  <c r="CQ169" i="67" s="1"/>
  <c r="CP169" i="67" a="1"/>
  <c r="CP169" i="67" s="1"/>
  <c r="CN169" i="67" a="1"/>
  <c r="CN169" i="67" s="1"/>
  <c r="CS169" i="67" a="1"/>
  <c r="CS169" i="67" s="1"/>
  <c r="CM169" i="67" a="1"/>
  <c r="CM169" i="67" s="1"/>
  <c r="Z218" i="67" l="1" a="1"/>
  <c r="Z218" i="67" s="1"/>
  <c r="CL204" i="67" s="1" a="1"/>
  <c r="CL204" i="67" s="1"/>
  <c r="CL177" i="67" a="1"/>
  <c r="CL177" i="67" s="1"/>
  <c r="CL191" i="67" s="1" a="1"/>
  <c r="CL191" i="67" s="1"/>
  <c r="DA191" i="67" s="1" a="1"/>
  <c r="DA191" i="67" s="1"/>
  <c r="CL225" i="67" l="1" a="1"/>
  <c r="CL212" i="67" a="1"/>
  <c r="DA216" i="67" a="1"/>
  <c r="DA216" i="67" s="1"/>
  <c r="CL212" i="67" l="1"/>
  <c r="CW197" i="67" s="1" a="1"/>
  <c r="CW197" i="67" s="1"/>
  <c r="DA197" i="67" s="1" a="1"/>
  <c r="CW222" i="67" a="1"/>
  <c r="CW222" i="67" s="1"/>
  <c r="DA222" i="67" s="1" a="1"/>
  <c r="DA222" i="67" s="1"/>
  <c r="DA232" i="67" a="1"/>
  <c r="DA232" i="67" s="1"/>
  <c r="CL225" i="67"/>
  <c r="DA207" i="67" s="1" a="1"/>
  <c r="DA207" i="67" s="1"/>
  <c r="DL222" i="67" l="1" a="1"/>
  <c r="DL222" i="67" s="1"/>
  <c r="DR222" i="67" a="1"/>
  <c r="DR222" i="67" s="1"/>
  <c r="DP222" i="67" a="1"/>
  <c r="DP222" i="67" s="1"/>
  <c r="DO222" i="67" a="1"/>
  <c r="DO222" i="67" s="1"/>
  <c r="DM222" i="67" a="1"/>
  <c r="DM222" i="67" s="1"/>
  <c r="DN222" i="67" a="1"/>
  <c r="DN222" i="67" s="1"/>
  <c r="DK222" i="67" a="1"/>
  <c r="DK222" i="67" s="1"/>
  <c r="DQ222" i="67" a="1"/>
  <c r="DQ222" i="67" s="1"/>
  <c r="DN197" i="67" a="1"/>
  <c r="DN197" i="67" s="1"/>
  <c r="DQ197" i="67" a="1"/>
  <c r="DQ197" i="67" s="1"/>
  <c r="DO197" i="67" a="1"/>
  <c r="DO197" i="67" s="1"/>
  <c r="DA197" i="67"/>
  <c r="DK197" i="67" s="1" a="1"/>
  <c r="DK197" i="67" s="1"/>
  <c r="DP197" i="67" a="1"/>
  <c r="DP197" i="67" s="1"/>
  <c r="DR197" i="67" a="1"/>
  <c r="DR197" i="67" s="1"/>
  <c r="DM197" i="67" a="1"/>
  <c r="DM197" i="67" s="1"/>
  <c r="DL197" i="67" a="1"/>
  <c r="DL197" i="67" s="1"/>
  <c r="DK207" i="67" l="1" a="1"/>
  <c r="DK207" i="67" s="1"/>
  <c r="DK237" i="67" s="1" a="1"/>
  <c r="DK237" i="67" s="1"/>
  <c r="DK232" i="67" a="1"/>
  <c r="DK232" i="67" s="1"/>
  <c r="DK240" i="67" s="1" a="1"/>
  <c r="DK240" i="67" s="1"/>
  <c r="DK244" i="67" l="1" a="1"/>
  <c r="DK244" i="67" s="1"/>
  <c r="CL258" i="67" s="1" a="1"/>
  <c r="CR266" i="67" s="1" a="1"/>
  <c r="CR266" i="67" s="1"/>
  <c r="CQ266" i="67" l="1" a="1"/>
  <c r="CQ266" i="67" s="1"/>
  <c r="CO266" i="67" a="1"/>
  <c r="CO266" i="67" s="1"/>
  <c r="CN266" i="67" a="1"/>
  <c r="CN266" i="67" s="1"/>
  <c r="CL258" i="67"/>
  <c r="CL266" i="67" s="1" a="1"/>
  <c r="CL266" i="67" s="1"/>
  <c r="CP266" i="67" a="1"/>
  <c r="CP266" i="67" s="1"/>
  <c r="CM266" i="67" a="1"/>
  <c r="CM266" i="67" s="1"/>
  <c r="CS266" i="67" a="1"/>
  <c r="CS266" i="67" s="1"/>
  <c r="CL274" i="67" l="1" a="1"/>
  <c r="CL274" i="67" s="1"/>
  <c r="CL287" i="67" s="1" a="1"/>
  <c r="CL287" i="67" s="1"/>
  <c r="CL301" i="67" s="1" a="1"/>
  <c r="CL301" i="67" s="1"/>
  <c r="CL315" i="67" s="1" a="1"/>
  <c r="CL315" i="67" s="1"/>
  <c r="CL323" i="67" s="1" a="1"/>
  <c r="CL323" i="67" s="1"/>
  <c r="CL336" i="67" s="1" a="1"/>
  <c r="CP344" i="67" s="1" a="1"/>
  <c r="CP344" i="67" s="1"/>
  <c r="CQ344" i="67" l="1" a="1"/>
  <c r="CQ344" i="67" s="1"/>
  <c r="CL336" i="67"/>
  <c r="CL344" i="67" s="1" a="1"/>
  <c r="CL344" i="67" s="1"/>
  <c r="CR344" i="67" a="1"/>
  <c r="CR344" i="67" s="1"/>
  <c r="CS344" i="67" a="1"/>
  <c r="CS344" i="67" s="1"/>
  <c r="CM344" i="67" a="1"/>
  <c r="CM344" i="67" s="1"/>
  <c r="CN344" i="67" a="1"/>
  <c r="CN344" i="67" s="1"/>
  <c r="CO344" i="67" a="1"/>
  <c r="CO344" i="67" s="1"/>
  <c r="CL352" i="67" l="1" a="1"/>
  <c r="CL352" i="67" s="1"/>
  <c r="CL367" i="67" s="1" a="1"/>
  <c r="CL367" i="67" s="1"/>
  <c r="CL397" i="67" s="1" a="1"/>
  <c r="CL397" i="67" s="1"/>
  <c r="CP397" i="67" l="1" a="1"/>
  <c r="CP397" i="67" s="1"/>
  <c r="CQ397" i="67" a="1"/>
  <c r="CQ397" i="67" s="1"/>
  <c r="CR397" i="67" a="1"/>
  <c r="CR397" i="67" s="1"/>
  <c r="CM397" i="67" a="1"/>
  <c r="CM397" i="67" s="1"/>
  <c r="CS397" i="67" a="1"/>
  <c r="CS397" i="67" s="1"/>
  <c r="CO397" i="67" a="1"/>
  <c r="CO397" i="67" s="1"/>
  <c r="CN397" i="67" a="1"/>
  <c r="CN397" i="67" s="1"/>
  <c r="CL429" i="67" l="1" a="1"/>
  <c r="CL429" i="6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<sst xmlns="http://schemas.openxmlformats.org/spreadsheetml/2006/main" count="672" uniqueCount="89">
  <si>
    <t>ReLU</t>
  </si>
  <si>
    <t>Normalize</t>
  </si>
  <si>
    <t>[S]</t>
  </si>
  <si>
    <t>t</t>
  </si>
  <si>
    <t>a</t>
  </si>
  <si>
    <t>and</t>
  </si>
  <si>
    <t>apples</t>
  </si>
  <si>
    <t>brings</t>
  </si>
  <si>
    <t>by</t>
  </si>
  <si>
    <t>cat</t>
  </si>
  <si>
    <t>day</t>
  </si>
  <si>
    <t>dog</t>
  </si>
  <si>
    <t>eat</t>
  </si>
  <si>
    <t>fill</t>
  </si>
  <si>
    <t>friend</t>
  </si>
  <si>
    <t>happy</t>
  </si>
  <si>
    <t>house</t>
  </si>
  <si>
    <t>laughter</t>
  </si>
  <si>
    <t>light</t>
  </si>
  <si>
    <t>music</t>
  </si>
  <si>
    <t>night</t>
  </si>
  <si>
    <t>play</t>
  </si>
  <si>
    <t>quiet</t>
  </si>
  <si>
    <t>smile</t>
  </si>
  <si>
    <t>the</t>
  </si>
  <si>
    <t>to</t>
  </si>
  <si>
    <t>water</t>
  </si>
  <si>
    <t>↓</t>
  </si>
  <si>
    <t>→</t>
  </si>
  <si>
    <t>d</t>
  </si>
  <si>
    <t>Head</t>
  </si>
  <si>
    <t>Wq</t>
  </si>
  <si>
    <t xml:space="preserve">Q </t>
  </si>
  <si>
    <t>Q</t>
  </si>
  <si>
    <t>K^T * Q / sqrt(dk)</t>
  </si>
  <si>
    <t>K^T</t>
  </si>
  <si>
    <t>Wk</t>
  </si>
  <si>
    <t>K</t>
  </si>
  <si>
    <t>V</t>
  </si>
  <si>
    <t>Wv</t>
  </si>
  <si>
    <t>Linear</t>
  </si>
  <si>
    <t>Scale &amp; Shift</t>
  </si>
  <si>
    <t>gamma</t>
  </si>
  <si>
    <t>beta</t>
  </si>
  <si>
    <t>Prediction (Y)</t>
  </si>
  <si>
    <t>(Output Probabilities)</t>
  </si>
  <si>
    <t>Input Tokens</t>
  </si>
  <si>
    <t xml:space="preserve">Positional </t>
  </si>
  <si>
    <t>Encoding</t>
  </si>
  <si>
    <t>Logit (Z)</t>
  </si>
  <si>
    <t>Output Tokens</t>
  </si>
  <si>
    <t>(shifted right)</t>
  </si>
  <si>
    <t>K^T * Q / sqrt(dk) + casual mask</t>
  </si>
  <si>
    <t>Casual Mask</t>
  </si>
  <si>
    <t>狗</t>
  </si>
  <si>
    <t>貓</t>
  </si>
  <si>
    <t>牛</t>
  </si>
  <si>
    <t>大</t>
  </si>
  <si>
    <t>中</t>
  </si>
  <si>
    <t>小</t>
  </si>
  <si>
    <t>吃</t>
  </si>
  <si>
    <t>玩</t>
  </si>
  <si>
    <t>跑</t>
  </si>
  <si>
    <t>和</t>
  </si>
  <si>
    <t>你</t>
  </si>
  <si>
    <t>我</t>
  </si>
  <si>
    <t>他</t>
  </si>
  <si>
    <t>的</t>
  </si>
  <si>
    <t>好</t>
  </si>
  <si>
    <t>在</t>
  </si>
  <si>
    <t>Last Token Position</t>
  </si>
  <si>
    <t>Next Token Probabilities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</si>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</sst>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 tint="-0.499984740745262"/>
      <name val="Times New Roman"/>
      <family val="1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horizontal="center"/>
    </xf>
    <xf numFmtId="0" fontId="4" fillId="0" borderId="0"/>
    <xf numFmtId="0" fontId="5" fillId="0" borderId="0"/>
  </cellStyleXfs>
  <cellXfs count="98">
    <xf numFmtId="0" fontId="0" fillId="0" borderId="0" xfId="0"/>
    <xf numFmtId="0" fontId="5" fillId="0" borderId="0" xfId="0" applyFont="1"/>
    <xf numFmtId="0" fontId="4" fillId="0" borderId="0" xfId="2" applyAlignment="1">
      <alignment horizontal="center"/>
    </xf>
    <xf numFmtId="0" fontId="4" fillId="0" borderId="0" xfId="2"/>
    <xf numFmtId="0" fontId="7" fillId="0" borderId="0" xfId="2" applyFont="1"/>
    <xf numFmtId="0" fontId="4" fillId="0" borderId="0" xfId="2" applyAlignment="1">
      <alignment horizontal="center" textRotation="45"/>
    </xf>
    <xf numFmtId="0" fontId="4" fillId="0" borderId="9" xfId="2" applyBorder="1" applyAlignment="1">
      <alignment horizontal="center"/>
    </xf>
    <xf numFmtId="0" fontId="4" fillId="0" borderId="10" xfId="2" applyBorder="1" applyAlignment="1">
      <alignment horizontal="center"/>
    </xf>
    <xf numFmtId="0" fontId="4" fillId="0" borderId="11" xfId="2" applyBorder="1" applyAlignment="1">
      <alignment horizontal="center"/>
    </xf>
    <xf numFmtId="0" fontId="4" fillId="5" borderId="9" xfId="2" applyFill="1" applyBorder="1" applyAlignment="1">
      <alignment horizontal="center"/>
    </xf>
    <xf numFmtId="0" fontId="4" fillId="2" borderId="9" xfId="2" applyFill="1" applyBorder="1" applyAlignment="1">
      <alignment horizontal="center"/>
    </xf>
    <xf numFmtId="0" fontId="4" fillId="2" borderId="10" xfId="2" applyFill="1" applyBorder="1" applyAlignment="1">
      <alignment horizontal="center"/>
    </xf>
    <xf numFmtId="0" fontId="4" fillId="2" borderId="11" xfId="2" applyFill="1" applyBorder="1" applyAlignment="1">
      <alignment horizontal="center"/>
    </xf>
    <xf numFmtId="0" fontId="4" fillId="5" borderId="10" xfId="2" applyFill="1" applyBorder="1" applyAlignment="1">
      <alignment horizontal="center"/>
    </xf>
    <xf numFmtId="0" fontId="4" fillId="5" borderId="11" xfId="2" applyFill="1" applyBorder="1" applyAlignment="1">
      <alignment horizontal="center"/>
    </xf>
    <xf numFmtId="0" fontId="7" fillId="0" borderId="0" xfId="2" quotePrefix="1" applyFont="1" applyAlignment="1">
      <alignment horizontal="center"/>
    </xf>
    <xf numFmtId="0" fontId="4" fillId="7" borderId="19" xfId="2" applyFill="1" applyBorder="1" applyAlignment="1">
      <alignment horizontal="center"/>
    </xf>
    <xf numFmtId="0" fontId="4" fillId="7" borderId="20" xfId="2" applyFill="1" applyBorder="1" applyAlignment="1">
      <alignment horizontal="center"/>
    </xf>
    <xf numFmtId="0" fontId="4" fillId="7" borderId="21" xfId="2" applyFill="1" applyBorder="1" applyAlignment="1">
      <alignment horizontal="center"/>
    </xf>
    <xf numFmtId="0" fontId="4" fillId="7" borderId="22" xfId="2" applyFill="1" applyBorder="1" applyAlignment="1">
      <alignment horizontal="center"/>
    </xf>
    <xf numFmtId="0" fontId="4" fillId="7" borderId="0" xfId="2" applyFill="1" applyAlignment="1">
      <alignment horizontal="center"/>
    </xf>
    <xf numFmtId="0" fontId="4" fillId="7" borderId="23" xfId="2" applyFill="1" applyBorder="1" applyAlignment="1">
      <alignment horizontal="center"/>
    </xf>
    <xf numFmtId="0" fontId="4" fillId="7" borderId="16" xfId="2" applyFill="1" applyBorder="1" applyAlignment="1">
      <alignment horizontal="center"/>
    </xf>
    <xf numFmtId="0" fontId="4" fillId="7" borderId="17" xfId="2" applyFill="1" applyBorder="1" applyAlignment="1">
      <alignment horizontal="center"/>
    </xf>
    <xf numFmtId="0" fontId="4" fillId="7" borderId="18" xfId="2" applyFill="1" applyBorder="1" applyAlignment="1">
      <alignment horizontal="center"/>
    </xf>
    <xf numFmtId="0" fontId="4" fillId="0" borderId="0" xfId="2" applyAlignment="1">
      <alignment horizontal="left"/>
    </xf>
    <xf numFmtId="0" fontId="4" fillId="0" borderId="6" xfId="2" applyBorder="1" applyAlignment="1">
      <alignment horizontal="center"/>
    </xf>
    <xf numFmtId="0" fontId="4" fillId="0" borderId="7" xfId="2" applyBorder="1" applyAlignment="1">
      <alignment horizontal="center"/>
    </xf>
    <xf numFmtId="0" fontId="4" fillId="0" borderId="8" xfId="2" applyBorder="1" applyAlignment="1">
      <alignment horizontal="center"/>
    </xf>
    <xf numFmtId="0" fontId="4" fillId="6" borderId="9" xfId="2" applyFill="1" applyBorder="1" applyAlignment="1">
      <alignment horizontal="center"/>
    </xf>
    <xf numFmtId="0" fontId="4" fillId="6" borderId="10" xfId="2" applyFill="1" applyBorder="1" applyAlignment="1">
      <alignment horizontal="center"/>
    </xf>
    <xf numFmtId="0" fontId="4" fillId="6" borderId="11" xfId="2" applyFill="1" applyBorder="1" applyAlignment="1">
      <alignment horizontal="center"/>
    </xf>
    <xf numFmtId="0" fontId="8" fillId="0" borderId="0" xfId="2" applyFont="1"/>
    <xf numFmtId="0" fontId="4" fillId="0" borderId="20" xfId="2" applyBorder="1" applyAlignment="1">
      <alignment horizontal="center"/>
    </xf>
    <xf numFmtId="0" fontId="4" fillId="4" borderId="21" xfId="2" applyFill="1" applyBorder="1" applyAlignment="1">
      <alignment horizontal="center"/>
    </xf>
    <xf numFmtId="0" fontId="4" fillId="3" borderId="9" xfId="2" applyFill="1" applyBorder="1" applyAlignment="1">
      <alignment horizontal="center"/>
    </xf>
    <xf numFmtId="0" fontId="4" fillId="3" borderId="10" xfId="2" applyFill="1" applyBorder="1" applyAlignment="1">
      <alignment horizontal="center"/>
    </xf>
    <xf numFmtId="0" fontId="4" fillId="3" borderId="11" xfId="2" applyFill="1" applyBorder="1" applyAlignment="1">
      <alignment horizontal="center"/>
    </xf>
    <xf numFmtId="0" fontId="4" fillId="0" borderId="22" xfId="2" applyBorder="1" applyAlignment="1">
      <alignment horizontal="center"/>
    </xf>
    <xf numFmtId="0" fontId="4" fillId="4" borderId="23" xfId="2" applyFill="1" applyBorder="1" applyAlignment="1">
      <alignment horizontal="center"/>
    </xf>
    <xf numFmtId="0" fontId="4" fillId="0" borderId="16" xfId="2" applyBorder="1" applyAlignment="1">
      <alignment horizontal="center"/>
    </xf>
    <xf numFmtId="0" fontId="4" fillId="0" borderId="17" xfId="2" applyBorder="1" applyAlignment="1">
      <alignment horizontal="center"/>
    </xf>
    <xf numFmtId="0" fontId="4" fillId="4" borderId="18" xfId="2" applyFill="1" applyBorder="1" applyAlignment="1">
      <alignment horizontal="center"/>
    </xf>
    <xf numFmtId="0" fontId="4" fillId="0" borderId="9" xfId="2" applyBorder="1"/>
    <xf numFmtId="0" fontId="4" fillId="0" borderId="10" xfId="2" applyBorder="1"/>
    <xf numFmtId="0" fontId="4" fillId="0" borderId="11" xfId="2" applyBorder="1"/>
    <xf numFmtId="0" fontId="4" fillId="5" borderId="24" xfId="2" applyFill="1" applyBorder="1" applyAlignment="1">
      <alignment horizontal="center"/>
    </xf>
    <xf numFmtId="0" fontId="4" fillId="5" borderId="25" xfId="2" applyFill="1" applyBorder="1" applyAlignment="1">
      <alignment horizontal="center"/>
    </xf>
    <xf numFmtId="0" fontId="4" fillId="5" borderId="26" xfId="2" applyFill="1" applyBorder="1" applyAlignment="1">
      <alignment horizontal="center"/>
    </xf>
    <xf numFmtId="0" fontId="4" fillId="5" borderId="27" xfId="2" applyFill="1" applyBorder="1" applyAlignment="1">
      <alignment horizontal="center"/>
    </xf>
    <xf numFmtId="0" fontId="4" fillId="5" borderId="28" xfId="2" applyFill="1" applyBorder="1" applyAlignment="1">
      <alignment horizontal="center"/>
    </xf>
    <xf numFmtId="0" fontId="4" fillId="5" borderId="29" xfId="2" applyFill="1" applyBorder="1" applyAlignment="1">
      <alignment horizontal="center"/>
    </xf>
    <xf numFmtId="0" fontId="4" fillId="5" borderId="30" xfId="2" applyFill="1" applyBorder="1" applyAlignment="1">
      <alignment horizontal="center"/>
    </xf>
    <xf numFmtId="0" fontId="4" fillId="5" borderId="31" xfId="2" applyFill="1" applyBorder="1" applyAlignment="1">
      <alignment horizontal="center"/>
    </xf>
    <xf numFmtId="0" fontId="4" fillId="0" borderId="24" xfId="2" applyBorder="1" applyAlignment="1">
      <alignment horizontal="center"/>
    </xf>
    <xf numFmtId="0" fontId="4" fillId="0" borderId="27" xfId="2" applyBorder="1" applyAlignment="1">
      <alignment horizontal="center"/>
    </xf>
    <xf numFmtId="0" fontId="4" fillId="0" borderId="29" xfId="2" applyBorder="1" applyAlignment="1">
      <alignment horizontal="center"/>
    </xf>
    <xf numFmtId="0" fontId="4" fillId="0" borderId="28" xfId="2" applyBorder="1" applyAlignment="1">
      <alignment horizontal="center"/>
    </xf>
    <xf numFmtId="0" fontId="4" fillId="0" borderId="30" xfId="2" applyBorder="1" applyAlignment="1">
      <alignment horizontal="center"/>
    </xf>
    <xf numFmtId="0" fontId="4" fillId="0" borderId="31" xfId="2" applyBorder="1" applyAlignment="1">
      <alignment horizontal="center"/>
    </xf>
    <xf numFmtId="0" fontId="4" fillId="7" borderId="4" xfId="2" applyFill="1" applyBorder="1" applyAlignment="1">
      <alignment horizontal="center"/>
    </xf>
    <xf numFmtId="0" fontId="4" fillId="7" borderId="12" xfId="2" applyFill="1" applyBorder="1" applyAlignment="1">
      <alignment horizontal="center"/>
    </xf>
    <xf numFmtId="0" fontId="4" fillId="7" borderId="2" xfId="2" applyFill="1" applyBorder="1" applyAlignment="1">
      <alignment horizontal="center"/>
    </xf>
    <xf numFmtId="0" fontId="4" fillId="7" borderId="13" xfId="2" applyFill="1" applyBorder="1" applyAlignment="1">
      <alignment horizontal="center"/>
    </xf>
    <xf numFmtId="0" fontId="4" fillId="7" borderId="14" xfId="2" applyFill="1" applyBorder="1" applyAlignment="1">
      <alignment horizontal="center"/>
    </xf>
    <xf numFmtId="0" fontId="4" fillId="7" borderId="5" xfId="2" applyFill="1" applyBorder="1" applyAlignment="1">
      <alignment horizontal="center"/>
    </xf>
    <xf numFmtId="0" fontId="4" fillId="7" borderId="15" xfId="2" applyFill="1" applyBorder="1" applyAlignment="1">
      <alignment horizontal="center"/>
    </xf>
    <xf numFmtId="0" fontId="4" fillId="7" borderId="3" xfId="2" applyFill="1" applyBorder="1" applyAlignment="1">
      <alignment horizontal="center"/>
    </xf>
    <xf numFmtId="0" fontId="4" fillId="0" borderId="25" xfId="2" applyBorder="1" applyAlignment="1">
      <alignment horizontal="center"/>
    </xf>
    <xf numFmtId="0" fontId="4" fillId="0" borderId="26" xfId="2" applyBorder="1" applyAlignment="1">
      <alignment horizontal="center"/>
    </xf>
    <xf numFmtId="0" fontId="4" fillId="2" borderId="24" xfId="2" applyFill="1" applyBorder="1" applyAlignment="1">
      <alignment horizontal="center"/>
    </xf>
    <xf numFmtId="0" fontId="4" fillId="2" borderId="25" xfId="2" applyFill="1" applyBorder="1" applyAlignment="1">
      <alignment horizontal="center"/>
    </xf>
    <xf numFmtId="0" fontId="4" fillId="2" borderId="26" xfId="2" applyFill="1" applyBorder="1" applyAlignment="1">
      <alignment horizontal="center"/>
    </xf>
    <xf numFmtId="0" fontId="4" fillId="2" borderId="27" xfId="2" applyFill="1" applyBorder="1" applyAlignment="1">
      <alignment horizontal="center"/>
    </xf>
    <xf numFmtId="0" fontId="4" fillId="2" borderId="28" xfId="2" applyFill="1" applyBorder="1" applyAlignment="1">
      <alignment horizontal="center"/>
    </xf>
    <xf numFmtId="0" fontId="4" fillId="2" borderId="29" xfId="2" applyFill="1" applyBorder="1" applyAlignment="1">
      <alignment horizontal="center"/>
    </xf>
    <xf numFmtId="0" fontId="4" fillId="2" borderId="30" xfId="2" applyFill="1" applyBorder="1" applyAlignment="1">
      <alignment horizontal="center"/>
    </xf>
    <xf numFmtId="0" fontId="4" fillId="2" borderId="31" xfId="2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9" xfId="2" applyBorder="1" applyAlignment="1">
      <alignment horizontal="right"/>
    </xf>
    <xf numFmtId="0" fontId="4" fillId="0" borderId="4" xfId="2" applyBorder="1"/>
    <xf numFmtId="0" fontId="4" fillId="0" borderId="12" xfId="2" applyBorder="1"/>
    <xf numFmtId="0" fontId="4" fillId="0" borderId="2" xfId="2" applyBorder="1"/>
    <xf numFmtId="0" fontId="4" fillId="0" borderId="13" xfId="2" applyBorder="1"/>
    <xf numFmtId="0" fontId="4" fillId="0" borderId="14" xfId="2" applyBorder="1"/>
    <xf numFmtId="0" fontId="4" fillId="0" borderId="5" xfId="2" applyBorder="1"/>
    <xf numFmtId="0" fontId="4" fillId="0" borderId="15" xfId="2" applyBorder="1"/>
    <xf numFmtId="0" fontId="4" fillId="0" borderId="3" xfId="2" applyBorder="1"/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2" borderId="1" xfId="2" applyFont="1" applyFill="1" applyBorder="1"/>
    <xf numFmtId="0" fontId="4" fillId="2" borderId="1" xfId="2" applyFill="1" applyBorder="1"/>
    <xf numFmtId="0" fontId="3" fillId="2" borderId="1" xfId="2" applyFont="1" applyFill="1" applyBorder="1"/>
    <xf numFmtId="0" fontId="4" fillId="0" borderId="0" xfId="2" applyAlignment="1">
      <alignment horizontal="right"/>
    </xf>
    <xf numFmtId="0" fontId="1" fillId="2" borderId="1" xfId="2" applyFont="1" applyFill="1" applyBorder="1"/>
    <xf numFmtId="0" fontId="5" fillId="0" borderId="0" xfId="3"/>
  </cellXfs>
  <cellStyles count="4">
    <cellStyle name="Indices" xfId="1" xr:uid="{CCF734DB-8C0C-1F44-896F-EB842BA3EC76}"/>
    <cellStyle name="Normal" xfId="0" builtinId="0"/>
    <cellStyle name="Normal 2" xfId="2" xr:uid="{67384765-936C-F74A-9526-9D9ABE5855CB}"/>
    <cellStyle name="Normal 3" xfId="3" xr:uid="{5D74CF36-DD17-BE49-A7F9-A4861F0C8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70526</xdr:colOff>
      <xdr:row>155</xdr:row>
      <xdr:rowOff>87351</xdr:rowOff>
    </xdr:from>
    <xdr:to>
      <xdr:col>97</xdr:col>
      <xdr:colOff>307878</xdr:colOff>
      <xdr:row>183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E3C49F-11A5-254F-8FA1-2C9EF3D42F15}"/>
            </a:ext>
          </a:extLst>
        </xdr:cNvPr>
        <xdr:cNvSpPr/>
      </xdr:nvSpPr>
      <xdr:spPr>
        <a:xfrm>
          <a:off x="28797926" y="32104051"/>
          <a:ext cx="3539352" cy="57927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87</xdr:col>
      <xdr:colOff>95850</xdr:colOff>
      <xdr:row>283</xdr:row>
      <xdr:rowOff>61952</xdr:rowOff>
    </xdr:from>
    <xdr:to>
      <xdr:col>98</xdr:col>
      <xdr:colOff>129592</xdr:colOff>
      <xdr:row>328</xdr:row>
      <xdr:rowOff>170207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5187BF-AB8A-1346-94F7-4A58011BC16B}"/>
            </a:ext>
          </a:extLst>
        </xdr:cNvPr>
        <xdr:cNvSpPr/>
      </xdr:nvSpPr>
      <xdr:spPr>
        <a:xfrm>
          <a:off x="28823250" y="58088252"/>
          <a:ext cx="3665942" cy="9252255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75</xdr:col>
      <xdr:colOff>1</xdr:colOff>
      <xdr:row>362</xdr:row>
      <xdr:rowOff>62716</xdr:rowOff>
    </xdr:from>
    <xdr:to>
      <xdr:col>99</xdr:col>
      <xdr:colOff>51838</xdr:colOff>
      <xdr:row>390</xdr:row>
      <xdr:rowOff>168313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DEB5DEE-562B-2C4D-8AA1-DCDB7BD9A7A0}"/>
            </a:ext>
          </a:extLst>
        </xdr:cNvPr>
        <xdr:cNvSpPr/>
      </xdr:nvSpPr>
      <xdr:spPr>
        <a:xfrm>
          <a:off x="24765001" y="74141816"/>
          <a:ext cx="7976637" cy="5795197"/>
        </a:xfrm>
        <a:prstGeom prst="rect">
          <a:avLst/>
        </a:prstGeom>
        <a:noFill/>
        <a:ln w="38100"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Linear</a:t>
          </a:r>
        </a:p>
      </xdr:txBody>
    </xdr:sp>
    <xdr:clientData/>
  </xdr:twoCellAnchor>
  <xdr:twoCellAnchor>
    <xdr:from>
      <xdr:col>75</xdr:col>
      <xdr:colOff>25918</xdr:colOff>
      <xdr:row>392</xdr:row>
      <xdr:rowOff>52373</xdr:rowOff>
    </xdr:from>
    <xdr:to>
      <xdr:col>99</xdr:col>
      <xdr:colOff>0</xdr:colOff>
      <xdr:row>421</xdr:row>
      <xdr:rowOff>105834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23453CC-BAE9-0541-AD6D-70C8658D2999}"/>
            </a:ext>
          </a:extLst>
        </xdr:cNvPr>
        <xdr:cNvSpPr/>
      </xdr:nvSpPr>
      <xdr:spPr>
        <a:xfrm>
          <a:off x="24830606" y="78117686"/>
          <a:ext cx="7911582" cy="5808148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Softmax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67</xdr:col>
      <xdr:colOff>279831</xdr:colOff>
      <xdr:row>58</xdr:row>
      <xdr:rowOff>165466</xdr:rowOff>
    </xdr:from>
    <xdr:to>
      <xdr:col>124</xdr:col>
      <xdr:colOff>185208</xdr:colOff>
      <xdr:row>360</xdr:row>
      <xdr:rowOff>177800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9653E2-6668-9A41-A877-9A51CD6C3A9D}"/>
            </a:ext>
          </a:extLst>
        </xdr:cNvPr>
        <xdr:cNvSpPr/>
      </xdr:nvSpPr>
      <xdr:spPr>
        <a:xfrm>
          <a:off x="22403231" y="12217766"/>
          <a:ext cx="18726777" cy="61378734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Decoder</a:t>
          </a:r>
        </a:p>
      </xdr:txBody>
    </xdr:sp>
    <xdr:clientData/>
  </xdr:twoCellAnchor>
  <xdr:twoCellAnchor>
    <xdr:from>
      <xdr:col>87</xdr:col>
      <xdr:colOff>68035</xdr:colOff>
      <xdr:row>59</xdr:row>
      <xdr:rowOff>158750</xdr:rowOff>
    </xdr:from>
    <xdr:to>
      <xdr:col>123</xdr:col>
      <xdr:colOff>15489</xdr:colOff>
      <xdr:row>154</xdr:row>
      <xdr:rowOff>170366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783E40A-C1C1-1340-B8B6-6AEC81471A0E}"/>
            </a:ext>
          </a:extLst>
        </xdr:cNvPr>
        <xdr:cNvSpPr/>
      </xdr:nvSpPr>
      <xdr:spPr>
        <a:xfrm>
          <a:off x="28841473" y="12144375"/>
          <a:ext cx="11853704" cy="18863179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87</xdr:col>
      <xdr:colOff>104742</xdr:colOff>
      <xdr:row>329</xdr:row>
      <xdr:rowOff>183298</xdr:rowOff>
    </xdr:from>
    <xdr:to>
      <xdr:col>98</xdr:col>
      <xdr:colOff>129592</xdr:colOff>
      <xdr:row>359</xdr:row>
      <xdr:rowOff>126999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8E42A7-82B5-114D-92D0-CBDBB5FC634A}"/>
            </a:ext>
          </a:extLst>
        </xdr:cNvPr>
        <xdr:cNvSpPr/>
      </xdr:nvSpPr>
      <xdr:spPr>
        <a:xfrm>
          <a:off x="28832142" y="67302798"/>
          <a:ext cx="3657050" cy="6039701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60</xdr:col>
      <xdr:colOff>96173</xdr:colOff>
      <xdr:row>36</xdr:row>
      <xdr:rowOff>165100</xdr:rowOff>
    </xdr:from>
    <xdr:to>
      <xdr:col>97</xdr:col>
      <xdr:colOff>249464</xdr:colOff>
      <xdr:row>47</xdr:row>
      <xdr:rowOff>22678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4CD2FE7-6095-E047-A904-A2325AC6EA85}"/>
            </a:ext>
          </a:extLst>
        </xdr:cNvPr>
        <xdr:cNvSpPr/>
      </xdr:nvSpPr>
      <xdr:spPr>
        <a:xfrm>
          <a:off x="19908173" y="7734300"/>
          <a:ext cx="12370691" cy="2359478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88</xdr:col>
      <xdr:colOff>194235</xdr:colOff>
      <xdr:row>50</xdr:row>
      <xdr:rowOff>101600</xdr:rowOff>
    </xdr:from>
    <xdr:to>
      <xdr:col>97</xdr:col>
      <xdr:colOff>89647</xdr:colOff>
      <xdr:row>57</xdr:row>
      <xdr:rowOff>101600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2DC881-27C7-5249-8DF0-B5D5D78AFC2E}"/>
            </a:ext>
          </a:extLst>
        </xdr:cNvPr>
        <xdr:cNvSpPr/>
      </xdr:nvSpPr>
      <xdr:spPr>
        <a:xfrm>
          <a:off x="29251835" y="10782300"/>
          <a:ext cx="2867212" cy="1422400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113</xdr:col>
      <xdr:colOff>204966</xdr:colOff>
      <xdr:row>147</xdr:row>
      <xdr:rowOff>124964</xdr:rowOff>
    </xdr:from>
    <xdr:to>
      <xdr:col>122</xdr:col>
      <xdr:colOff>106218</xdr:colOff>
      <xdr:row>154</xdr:row>
      <xdr:rowOff>80140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A16FC1B-A824-2D4F-817D-4B35DF13D1FB}"/>
            </a:ext>
          </a:extLst>
        </xdr:cNvPr>
        <xdr:cNvSpPr/>
      </xdr:nvSpPr>
      <xdr:spPr>
        <a:xfrm>
          <a:off x="37517566" y="30516064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87</xdr:col>
      <xdr:colOff>66145</xdr:colOff>
      <xdr:row>252</xdr:row>
      <xdr:rowOff>61951</xdr:rowOff>
    </xdr:from>
    <xdr:to>
      <xdr:col>98</xdr:col>
      <xdr:colOff>145521</xdr:colOff>
      <xdr:row>281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B621D5F-21BF-A44A-B89A-6E93227B9A6A}"/>
            </a:ext>
          </a:extLst>
        </xdr:cNvPr>
        <xdr:cNvSpPr/>
      </xdr:nvSpPr>
      <xdr:spPr>
        <a:xfrm>
          <a:off x="28793545" y="51535051"/>
          <a:ext cx="3711576" cy="5932449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88</xdr:col>
      <xdr:colOff>197140</xdr:colOff>
      <xdr:row>272</xdr:row>
      <xdr:rowOff>119321</xdr:rowOff>
    </xdr:from>
    <xdr:to>
      <xdr:col>97</xdr:col>
      <xdr:colOff>98392</xdr:colOff>
      <xdr:row>279</xdr:row>
      <xdr:rowOff>74496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E1B5AD4-F9ED-5045-8891-B683D6BB1AC3}"/>
            </a:ext>
          </a:extLst>
        </xdr:cNvPr>
        <xdr:cNvSpPr/>
      </xdr:nvSpPr>
      <xdr:spPr>
        <a:xfrm>
          <a:off x="29254740" y="55910421"/>
          <a:ext cx="2873052" cy="1377575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13</xdr:col>
      <xdr:colOff>215900</xdr:colOff>
      <xdr:row>48</xdr:row>
      <xdr:rowOff>88900</xdr:rowOff>
    </xdr:from>
    <xdr:to>
      <xdr:col>20</xdr:col>
      <xdr:colOff>165100</xdr:colOff>
      <xdr:row>54</xdr:row>
      <xdr:rowOff>117424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919151-A59B-9040-9BE0-8E73171ECC7E}"/>
            </a:ext>
          </a:extLst>
        </xdr:cNvPr>
        <xdr:cNvSpPr/>
      </xdr:nvSpPr>
      <xdr:spPr>
        <a:xfrm>
          <a:off x="4508500" y="10363200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17</xdr:col>
      <xdr:colOff>26841</xdr:colOff>
      <xdr:row>47</xdr:row>
      <xdr:rowOff>16290</xdr:rowOff>
    </xdr:from>
    <xdr:to>
      <xdr:col>27</xdr:col>
      <xdr:colOff>182156</xdr:colOff>
      <xdr:row>48</xdr:row>
      <xdr:rowOff>88901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9112300C-8FD3-954A-B017-5A6B5291F367}"/>
            </a:ext>
          </a:extLst>
        </xdr:cNvPr>
        <xdr:cNvCxnSpPr>
          <a:stCxn id="15" idx="0"/>
          <a:endCxn id="18" idx="2"/>
        </xdr:cNvCxnSpPr>
      </xdr:nvCxnSpPr>
      <xdr:spPr>
        <a:xfrm rot="5400000" flipH="1" flipV="1">
          <a:off x="7230993" y="8496638"/>
          <a:ext cx="275811" cy="34573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182156</xdr:colOff>
      <xdr:row>45</xdr:row>
      <xdr:rowOff>63766</xdr:rowOff>
    </xdr:from>
    <xdr:to>
      <xdr:col>28</xdr:col>
      <xdr:colOff>109944</xdr:colOff>
      <xdr:row>48</xdr:row>
      <xdr:rowOff>154100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903D45E-8215-A24B-8274-DB6BCF8C819E}"/>
            </a:ext>
          </a:extLst>
        </xdr:cNvPr>
        <xdr:cNvGrpSpPr/>
      </xdr:nvGrpSpPr>
      <xdr:grpSpPr>
        <a:xfrm>
          <a:off x="10544319" y="8971909"/>
          <a:ext cx="407278" cy="665722"/>
          <a:chOff x="9311277" y="9671130"/>
          <a:chExt cx="283813" cy="696108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CC5977C4-E394-1DDE-107B-ACDB907417A0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296D11CB-42C4-27E8-83DD-031822C8BF5C}"/>
              </a:ext>
            </a:extLst>
          </xdr:cNvPr>
          <xdr:cNvCxnSpPr>
            <a:stCxn id="18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AE084B8E-CC3F-3E81-71A4-AC24BFA50DE6}"/>
              </a:ext>
            </a:extLst>
          </xdr:cNvPr>
          <xdr:cNvCxnSpPr>
            <a:endCxn id="18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136071</xdr:colOff>
      <xdr:row>62</xdr:row>
      <xdr:rowOff>158751</xdr:rowOff>
    </xdr:from>
    <xdr:to>
      <xdr:col>55</xdr:col>
      <xdr:colOff>79374</xdr:colOff>
      <xdr:row>126</xdr:row>
      <xdr:rowOff>158751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6E4BEAC-D693-DA48-8747-1D39438E59C0}"/>
            </a:ext>
          </a:extLst>
        </xdr:cNvPr>
        <xdr:cNvSpPr/>
      </xdr:nvSpPr>
      <xdr:spPr>
        <a:xfrm>
          <a:off x="7730671" y="13277851"/>
          <a:ext cx="10509703" cy="13004800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Self-Attention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28</xdr:col>
      <xdr:colOff>219650</xdr:colOff>
      <xdr:row>129</xdr:row>
      <xdr:rowOff>53544</xdr:rowOff>
    </xdr:from>
    <xdr:to>
      <xdr:col>29</xdr:col>
      <xdr:colOff>147440</xdr:colOff>
      <xdr:row>131</xdr:row>
      <xdr:rowOff>123568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F792FD1-C1B4-6C4D-8214-7EA1B7D2661B}"/>
            </a:ext>
          </a:extLst>
        </xdr:cNvPr>
        <xdr:cNvGrpSpPr/>
      </xdr:nvGrpSpPr>
      <xdr:grpSpPr>
        <a:xfrm>
          <a:off x="11061303" y="25072544"/>
          <a:ext cx="407280" cy="453616"/>
          <a:chOff x="9311277" y="9893127"/>
          <a:chExt cx="283813" cy="474111"/>
        </a:xfrm>
      </xdr:grpSpPr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110E0AB6-9D92-8295-739B-F0BC34619913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5D6850D5-5649-7680-36DA-C1D5777C9769}"/>
              </a:ext>
            </a:extLst>
          </xdr:cNvPr>
          <xdr:cNvCxnSpPr>
            <a:stCxn id="2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214085</xdr:colOff>
      <xdr:row>48</xdr:row>
      <xdr:rowOff>112486</xdr:rowOff>
    </xdr:from>
    <xdr:to>
      <xdr:col>31</xdr:col>
      <xdr:colOff>163285</xdr:colOff>
      <xdr:row>54</xdr:row>
      <xdr:rowOff>141010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3792D1-F5FE-3E44-B283-55DF4A3B09CE}"/>
            </a:ext>
          </a:extLst>
        </xdr:cNvPr>
        <xdr:cNvSpPr/>
      </xdr:nvSpPr>
      <xdr:spPr>
        <a:xfrm>
          <a:off x="8138885" y="10386786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24</xdr:col>
      <xdr:colOff>214084</xdr:colOff>
      <xdr:row>51</xdr:row>
      <xdr:rowOff>126747</xdr:rowOff>
    </xdr:from>
    <xdr:to>
      <xdr:col>28</xdr:col>
      <xdr:colOff>219649</xdr:colOff>
      <xdr:row>129</xdr:row>
      <xdr:rowOff>195642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6CDE0242-1085-4A45-802C-E0853C6E3042}"/>
            </a:ext>
          </a:extLst>
        </xdr:cNvPr>
        <xdr:cNvCxnSpPr>
          <a:stCxn id="25" idx="1"/>
          <a:endCxn id="23" idx="2"/>
        </xdr:cNvCxnSpPr>
      </xdr:nvCxnSpPr>
      <xdr:spPr>
        <a:xfrm rot="10800000" flipH="1" flipV="1">
          <a:off x="8138884" y="11010647"/>
          <a:ext cx="1326365" cy="15918495"/>
        </a:xfrm>
        <a:prstGeom prst="bentConnector3">
          <a:avLst>
            <a:gd name="adj1" fmla="val -5721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148541</xdr:colOff>
      <xdr:row>127</xdr:row>
      <xdr:rowOff>186231</xdr:rowOff>
    </xdr:from>
    <xdr:to>
      <xdr:col>32</xdr:col>
      <xdr:colOff>204107</xdr:colOff>
      <xdr:row>152</xdr:row>
      <xdr:rowOff>181428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E6EE919-F176-CE4E-BDE3-4385F478197B}"/>
            </a:ext>
          </a:extLst>
        </xdr:cNvPr>
        <xdr:cNvSpPr/>
      </xdr:nvSpPr>
      <xdr:spPr>
        <a:xfrm>
          <a:off x="7743141" y="26513331"/>
          <a:ext cx="302736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23</xdr:col>
      <xdr:colOff>171844</xdr:colOff>
      <xdr:row>154</xdr:row>
      <xdr:rowOff>0</xdr:rowOff>
    </xdr:from>
    <xdr:to>
      <xdr:col>32</xdr:col>
      <xdr:colOff>226786</xdr:colOff>
      <xdr:row>197</xdr:row>
      <xdr:rowOff>152400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B0A4644-CC52-FC46-932A-657C38EA44D9}"/>
            </a:ext>
          </a:extLst>
        </xdr:cNvPr>
        <xdr:cNvSpPr/>
      </xdr:nvSpPr>
      <xdr:spPr>
        <a:xfrm>
          <a:off x="7766444" y="31813500"/>
          <a:ext cx="3026742" cy="8890000"/>
        </a:xfrm>
        <a:prstGeom prst="rect">
          <a:avLst/>
        </a:prstGeom>
        <a:noFill/>
        <a:ln w="38100"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Feed-Forward</a:t>
          </a:r>
        </a:p>
      </xdr:txBody>
    </xdr:sp>
    <xdr:clientData/>
  </xdr:twoCellAnchor>
  <xdr:twoCellAnchor>
    <xdr:from>
      <xdr:col>24</xdr:col>
      <xdr:colOff>226786</xdr:colOff>
      <xdr:row>145</xdr:row>
      <xdr:rowOff>90715</xdr:rowOff>
    </xdr:from>
    <xdr:to>
      <xdr:col>31</xdr:col>
      <xdr:colOff>175986</xdr:colOff>
      <xdr:row>151</xdr:row>
      <xdr:rowOff>119239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4332CC7-1C6E-D04D-BE00-FA6A0377A824}"/>
            </a:ext>
          </a:extLst>
        </xdr:cNvPr>
        <xdr:cNvSpPr/>
      </xdr:nvSpPr>
      <xdr:spPr>
        <a:xfrm>
          <a:off x="8151586" y="30075415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23</xdr:col>
      <xdr:colOff>158751</xdr:colOff>
      <xdr:row>198</xdr:row>
      <xdr:rowOff>113394</xdr:rowOff>
    </xdr:from>
    <xdr:to>
      <xdr:col>32</xdr:col>
      <xdr:colOff>204107</xdr:colOff>
      <xdr:row>223</xdr:row>
      <xdr:rowOff>108591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6746A3C-7534-AF44-A6C0-043E80332993}"/>
            </a:ext>
          </a:extLst>
        </xdr:cNvPr>
        <xdr:cNvSpPr/>
      </xdr:nvSpPr>
      <xdr:spPr>
        <a:xfrm>
          <a:off x="7753351" y="40867694"/>
          <a:ext cx="3017156" cy="5075197"/>
        </a:xfrm>
        <a:prstGeom prst="rect">
          <a:avLst/>
        </a:prstGeom>
        <a:noFill/>
        <a:ln w="38100">
          <a:solidFill>
            <a:schemeClr val="accent4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Add &amp; Norm</a:t>
          </a:r>
        </a:p>
      </xdr:txBody>
    </xdr:sp>
    <xdr:clientData/>
  </xdr:twoCellAnchor>
  <xdr:twoCellAnchor>
    <xdr:from>
      <xdr:col>29</xdr:col>
      <xdr:colOff>19886</xdr:colOff>
      <xdr:row>122</xdr:row>
      <xdr:rowOff>119004</xdr:rowOff>
    </xdr:from>
    <xdr:to>
      <xdr:col>47</xdr:col>
      <xdr:colOff>183300</xdr:colOff>
      <xdr:row>129</xdr:row>
      <xdr:rowOff>53543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432ECC6B-2955-1C44-BCF1-45D3C8D4311C}"/>
            </a:ext>
          </a:extLst>
        </xdr:cNvPr>
        <xdr:cNvCxnSpPr>
          <a:stCxn id="32" idx="1"/>
          <a:endCxn id="23" idx="0"/>
        </xdr:cNvCxnSpPr>
      </xdr:nvCxnSpPr>
      <xdr:spPr>
        <a:xfrm rot="10800000" flipV="1">
          <a:off x="9595686" y="25430104"/>
          <a:ext cx="6107014" cy="13569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183299</xdr:colOff>
      <xdr:row>119</xdr:row>
      <xdr:rowOff>104743</xdr:rowOff>
    </xdr:from>
    <xdr:to>
      <xdr:col>54</xdr:col>
      <xdr:colOff>132499</xdr:colOff>
      <xdr:row>125</xdr:row>
      <xdr:rowOff>133267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CDCAB43-6314-464F-A9EF-3818E1CF03CD}"/>
            </a:ext>
          </a:extLst>
        </xdr:cNvPr>
        <xdr:cNvSpPr/>
      </xdr:nvSpPr>
      <xdr:spPr>
        <a:xfrm>
          <a:off x="15702699" y="24806243"/>
          <a:ext cx="2260600" cy="12477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27</xdr:col>
      <xdr:colOff>215900</xdr:colOff>
      <xdr:row>200</xdr:row>
      <xdr:rowOff>63500</xdr:rowOff>
    </xdr:from>
    <xdr:to>
      <xdr:col>28</xdr:col>
      <xdr:colOff>143690</xdr:colOff>
      <xdr:row>202</xdr:row>
      <xdr:rowOff>133524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53E18248-C7F2-804A-A2B8-1817DC40C3C6}"/>
            </a:ext>
          </a:extLst>
        </xdr:cNvPr>
        <xdr:cNvGrpSpPr/>
      </xdr:nvGrpSpPr>
      <xdr:grpSpPr>
        <a:xfrm>
          <a:off x="10578063" y="38700010"/>
          <a:ext cx="407280" cy="453616"/>
          <a:chOff x="9311277" y="9893127"/>
          <a:chExt cx="283813" cy="474111"/>
        </a:xfrm>
      </xdr:grpSpPr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A7CB0C82-F902-7C23-1689-97D678D17099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37E49C33-6506-3766-7929-5E93072609C2}"/>
              </a:ext>
            </a:extLst>
          </xdr:cNvPr>
          <xdr:cNvCxnSpPr>
            <a:stCxn id="34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226786</xdr:colOff>
      <xdr:row>148</xdr:row>
      <xdr:rowOff>104977</xdr:rowOff>
    </xdr:from>
    <xdr:to>
      <xdr:col>27</xdr:col>
      <xdr:colOff>215900</xdr:colOff>
      <xdr:row>200</xdr:row>
      <xdr:rowOff>201947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8CD08AF6-C2DF-1B40-89A7-F10AD557C3C7}"/>
            </a:ext>
          </a:extLst>
        </xdr:cNvPr>
        <xdr:cNvCxnSpPr>
          <a:stCxn id="29" idx="1"/>
          <a:endCxn id="34" idx="2"/>
        </xdr:cNvCxnSpPr>
      </xdr:nvCxnSpPr>
      <xdr:spPr>
        <a:xfrm rot="10800000" flipH="1" flipV="1">
          <a:off x="8151586" y="30699277"/>
          <a:ext cx="979714" cy="10663370"/>
        </a:xfrm>
        <a:prstGeom prst="bentConnector3">
          <a:avLst>
            <a:gd name="adj1" fmla="val -6611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203200</xdr:colOff>
      <xdr:row>191</xdr:row>
      <xdr:rowOff>139700</xdr:rowOff>
    </xdr:from>
    <xdr:to>
      <xdr:col>31</xdr:col>
      <xdr:colOff>152400</xdr:colOff>
      <xdr:row>197</xdr:row>
      <xdr:rowOff>66624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5CA5ADF-155C-7042-A5B8-AFC8F94AFD3A}"/>
            </a:ext>
          </a:extLst>
        </xdr:cNvPr>
        <xdr:cNvSpPr/>
      </xdr:nvSpPr>
      <xdr:spPr>
        <a:xfrm>
          <a:off x="8128000" y="39471600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12699</xdr:colOff>
      <xdr:row>197</xdr:row>
      <xdr:rowOff>66624</xdr:rowOff>
    </xdr:from>
    <xdr:to>
      <xdr:col>28</xdr:col>
      <xdr:colOff>14694</xdr:colOff>
      <xdr:row>200</xdr:row>
      <xdr:rowOff>63500</xdr:rowOff>
    </xdr:to>
    <xdr:cxnSp macro="">
      <xdr:nvCxnSpPr>
        <xdr:cNvPr id="38" name="Elbow Connector 37">
          <a:extLst>
            <a:ext uri="{FF2B5EF4-FFF2-40B4-BE49-F238E27FC236}">
              <a16:creationId xmlns:a16="http://schemas.microsoft.com/office/drawing/2014/main" id="{9D3EF9C6-EAFF-A142-818E-6AF2A353956F}"/>
            </a:ext>
          </a:extLst>
        </xdr:cNvPr>
        <xdr:cNvCxnSpPr>
          <a:stCxn id="37" idx="2"/>
          <a:endCxn id="34" idx="0"/>
        </xdr:cNvCxnSpPr>
      </xdr:nvCxnSpPr>
      <xdr:spPr>
        <a:xfrm rot="16200000" flipH="1">
          <a:off x="8956059" y="40919964"/>
          <a:ext cx="606476" cy="199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68037</xdr:colOff>
      <xdr:row>58</xdr:row>
      <xdr:rowOff>158751</xdr:rowOff>
    </xdr:from>
    <xdr:to>
      <xdr:col>56</xdr:col>
      <xdr:colOff>181430</xdr:colOff>
      <xdr:row>225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A995ADB-D0BD-1E47-8F7A-6BE145B58165}"/>
            </a:ext>
          </a:extLst>
        </xdr:cNvPr>
        <xdr:cNvSpPr/>
      </xdr:nvSpPr>
      <xdr:spPr>
        <a:xfrm>
          <a:off x="2049237" y="12465051"/>
          <a:ext cx="16623393" cy="33775649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3600" b="1" kern="1200"/>
            <a:t>Transformer Encoder</a:t>
          </a:r>
        </a:p>
      </xdr:txBody>
    </xdr:sp>
    <xdr:clientData/>
  </xdr:twoCellAnchor>
  <xdr:twoCellAnchor>
    <xdr:from>
      <xdr:col>76</xdr:col>
      <xdr:colOff>266543</xdr:colOff>
      <xdr:row>50</xdr:row>
      <xdr:rowOff>125433</xdr:rowOff>
    </xdr:from>
    <xdr:to>
      <xdr:col>85</xdr:col>
      <xdr:colOff>52873</xdr:colOff>
      <xdr:row>57</xdr:row>
      <xdr:rowOff>62716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1433FAC-32EB-7C45-8FCC-8BBA5020D3E1}"/>
            </a:ext>
          </a:extLst>
        </xdr:cNvPr>
        <xdr:cNvSpPr/>
      </xdr:nvSpPr>
      <xdr:spPr>
        <a:xfrm>
          <a:off x="25361743" y="10806133"/>
          <a:ext cx="2758130" cy="1359683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80</xdr:col>
      <xdr:colOff>324338</xdr:colOff>
      <xdr:row>48</xdr:row>
      <xdr:rowOff>197771</xdr:rowOff>
    </xdr:from>
    <xdr:to>
      <xdr:col>92</xdr:col>
      <xdr:colOff>69929</xdr:colOff>
      <xdr:row>50</xdr:row>
      <xdr:rowOff>125433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D51F6E06-F019-CB4D-95DA-24A73797049C}"/>
            </a:ext>
          </a:extLst>
        </xdr:cNvPr>
        <xdr:cNvCxnSpPr>
          <a:stCxn id="40" idx="0"/>
          <a:endCxn id="43" idx="2"/>
        </xdr:cNvCxnSpPr>
      </xdr:nvCxnSpPr>
      <xdr:spPr>
        <a:xfrm rot="5400000" flipH="1" flipV="1">
          <a:off x="28427303" y="8785106"/>
          <a:ext cx="334062" cy="370799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69929</xdr:colOff>
      <xdr:row>47</xdr:row>
      <xdr:rowOff>38878</xdr:rowOff>
    </xdr:from>
    <xdr:to>
      <xdr:col>92</xdr:col>
      <xdr:colOff>321697</xdr:colOff>
      <xdr:row>50</xdr:row>
      <xdr:rowOff>129212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FFC6B15-A317-E04B-AF89-789134BA2681}"/>
            </a:ext>
          </a:extLst>
        </xdr:cNvPr>
        <xdr:cNvGrpSpPr/>
      </xdr:nvGrpSpPr>
      <xdr:grpSpPr>
        <a:xfrm>
          <a:off x="34842011" y="9330613"/>
          <a:ext cx="251768" cy="665721"/>
          <a:chOff x="9311277" y="9671130"/>
          <a:chExt cx="283813" cy="696108"/>
        </a:xfrm>
      </xdr:grpSpPr>
      <xdr:sp macro="" textlink="">
        <xdr:nvSpPr>
          <xdr:cNvPr id="43" name="Oval 42">
            <a:extLst>
              <a:ext uri="{FF2B5EF4-FFF2-40B4-BE49-F238E27FC236}">
                <a16:creationId xmlns:a16="http://schemas.microsoft.com/office/drawing/2014/main" id="{BB705108-0DF2-D98D-B21B-4B9CB3E180CD}"/>
              </a:ext>
            </a:extLst>
          </xdr:cNvPr>
          <xdr:cNvSpPr/>
        </xdr:nvSpPr>
        <xdr:spPr>
          <a:xfrm>
            <a:off x="9311277" y="9893126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311DB47-3C68-4888-ADEF-70CB1867AC12}"/>
              </a:ext>
            </a:extLst>
          </xdr:cNvPr>
          <xdr:cNvCxnSpPr>
            <a:stCxn id="43" idx="4"/>
          </xdr:cNvCxnSpPr>
        </xdr:nvCxnSpPr>
        <xdr:spPr>
          <a:xfrm>
            <a:off x="9453184" y="10168675"/>
            <a:ext cx="80" cy="19856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14A22554-6CAA-2810-F613-578E9949D6D5}"/>
              </a:ext>
            </a:extLst>
          </xdr:cNvPr>
          <xdr:cNvCxnSpPr>
            <a:endCxn id="43" idx="0"/>
          </xdr:cNvCxnSpPr>
        </xdr:nvCxnSpPr>
        <xdr:spPr>
          <a:xfrm flipH="1">
            <a:off x="9453184" y="9671130"/>
            <a:ext cx="80" cy="2219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0</xdr:colOff>
      <xdr:row>157</xdr:row>
      <xdr:rowOff>0</xdr:rowOff>
    </xdr:from>
    <xdr:to>
      <xdr:col>93</xdr:col>
      <xdr:colOff>257990</xdr:colOff>
      <xdr:row>159</xdr:row>
      <xdr:rowOff>70024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A5066E29-D349-0F43-8333-554D970E40CB}"/>
            </a:ext>
          </a:extLst>
        </xdr:cNvPr>
        <xdr:cNvGrpSpPr/>
      </xdr:nvGrpSpPr>
      <xdr:grpSpPr>
        <a:xfrm>
          <a:off x="35251571" y="30389286"/>
          <a:ext cx="257990" cy="453616"/>
          <a:chOff x="9311277" y="9893127"/>
          <a:chExt cx="283813" cy="474111"/>
        </a:xfrm>
      </xdr:grpSpPr>
      <xdr:sp macro="" textlink="">
        <xdr:nvSpPr>
          <xdr:cNvPr id="47" name="Oval 46">
            <a:extLst>
              <a:ext uri="{FF2B5EF4-FFF2-40B4-BE49-F238E27FC236}">
                <a16:creationId xmlns:a16="http://schemas.microsoft.com/office/drawing/2014/main" id="{F9B532C0-7995-ABF4-5841-5270E987D081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4DA4711B-D961-BB48-C6CC-E9914F147B0A}"/>
              </a:ext>
            </a:extLst>
          </xdr:cNvPr>
          <xdr:cNvCxnSpPr>
            <a:stCxn id="47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93</xdr:col>
      <xdr:colOff>128996</xdr:colOff>
      <xdr:row>151</xdr:row>
      <xdr:rowOff>952</xdr:rowOff>
    </xdr:from>
    <xdr:to>
      <xdr:col>113</xdr:col>
      <xdr:colOff>204967</xdr:colOff>
      <xdr:row>157</xdr:row>
      <xdr:rowOff>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FA0DB577-F6E3-294C-939F-10CB966EE573}"/>
            </a:ext>
          </a:extLst>
        </xdr:cNvPr>
        <xdr:cNvCxnSpPr>
          <a:stCxn id="11" idx="1"/>
          <a:endCxn id="47" idx="0"/>
        </xdr:cNvCxnSpPr>
      </xdr:nvCxnSpPr>
      <xdr:spPr>
        <a:xfrm rot="10800000" flipV="1">
          <a:off x="30837596" y="31204852"/>
          <a:ext cx="6679971" cy="121824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194234</xdr:colOff>
      <xdr:row>53</xdr:row>
      <xdr:rowOff>203199</xdr:rowOff>
    </xdr:from>
    <xdr:to>
      <xdr:col>92</xdr:col>
      <xdr:colOff>330199</xdr:colOff>
      <xdr:row>157</xdr:row>
      <xdr:rowOff>138446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2A4E788B-6132-F545-B74D-A96516C44BEF}"/>
            </a:ext>
          </a:extLst>
        </xdr:cNvPr>
        <xdr:cNvCxnSpPr>
          <a:stCxn id="10" idx="1"/>
          <a:endCxn id="47" idx="2"/>
        </xdr:cNvCxnSpPr>
      </xdr:nvCxnSpPr>
      <xdr:spPr>
        <a:xfrm rot="10800000" flipH="1" flipV="1">
          <a:off x="29251834" y="11493499"/>
          <a:ext cx="1456765" cy="21068047"/>
        </a:xfrm>
        <a:prstGeom prst="bentConnector3">
          <a:avLst>
            <a:gd name="adj1" fmla="val -476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57726</xdr:colOff>
      <xdr:row>185</xdr:row>
      <xdr:rowOff>0</xdr:rowOff>
    </xdr:from>
    <xdr:to>
      <xdr:col>123</xdr:col>
      <xdr:colOff>5180</xdr:colOff>
      <xdr:row>250</xdr:row>
      <xdr:rowOff>119062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7CC8C04-16E8-9F4A-A2CA-D73712816EF8}"/>
            </a:ext>
          </a:extLst>
        </xdr:cNvPr>
        <xdr:cNvSpPr/>
      </xdr:nvSpPr>
      <xdr:spPr>
        <a:xfrm>
          <a:off x="28785126" y="38112700"/>
          <a:ext cx="11834654" cy="13327062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Multi-head Cross-Attention</a:t>
          </a:r>
        </a:p>
        <a:p>
          <a:pPr algn="l"/>
          <a:endParaRPr lang="en-US" sz="1600" b="1" kern="1200"/>
        </a:p>
      </xdr:txBody>
    </xdr:sp>
    <xdr:clientData/>
  </xdr:twoCellAnchor>
  <xdr:twoCellAnchor>
    <xdr:from>
      <xdr:col>92</xdr:col>
      <xdr:colOff>134697</xdr:colOff>
      <xdr:row>254</xdr:row>
      <xdr:rowOff>5590</xdr:rowOff>
    </xdr:from>
    <xdr:to>
      <xdr:col>93</xdr:col>
      <xdr:colOff>65566</xdr:colOff>
      <xdr:row>256</xdr:row>
      <xdr:rowOff>88313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5CDD22C-23F8-D440-80C2-2BFC098ACFD6}"/>
            </a:ext>
          </a:extLst>
        </xdr:cNvPr>
        <xdr:cNvGrpSpPr/>
      </xdr:nvGrpSpPr>
      <xdr:grpSpPr>
        <a:xfrm>
          <a:off x="34906779" y="48999080"/>
          <a:ext cx="410358" cy="466315"/>
          <a:chOff x="9311277" y="9893127"/>
          <a:chExt cx="283813" cy="474111"/>
        </a:xfrm>
      </xdr:grpSpPr>
      <xdr:sp macro="" textlink="">
        <xdr:nvSpPr>
          <xdr:cNvPr id="53" name="Oval 52">
            <a:extLst>
              <a:ext uri="{FF2B5EF4-FFF2-40B4-BE49-F238E27FC236}">
                <a16:creationId xmlns:a16="http://schemas.microsoft.com/office/drawing/2014/main" id="{3892A649-6464-7941-EBBC-2C46742BBCF2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77779CE3-A5F3-7C12-7548-CBD57D88E083}"/>
              </a:ext>
            </a:extLst>
          </xdr:cNvPr>
          <xdr:cNvCxnSpPr>
            <a:stCxn id="53" idx="4"/>
          </xdr:cNvCxnSpPr>
        </xdr:nvCxnSpPr>
        <xdr:spPr>
          <a:xfrm>
            <a:off x="9453184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92</xdr:col>
      <xdr:colOff>263693</xdr:colOff>
      <xdr:row>246</xdr:row>
      <xdr:rowOff>6451</xdr:rowOff>
    </xdr:from>
    <xdr:to>
      <xdr:col>113</xdr:col>
      <xdr:colOff>211667</xdr:colOff>
      <xdr:row>254</xdr:row>
      <xdr:rowOff>5589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66A98D89-1EE2-3143-82C3-980C5751435B}"/>
            </a:ext>
          </a:extLst>
        </xdr:cNvPr>
        <xdr:cNvCxnSpPr>
          <a:stCxn id="56" idx="1"/>
          <a:endCxn id="53" idx="0"/>
        </xdr:cNvCxnSpPr>
      </xdr:nvCxnSpPr>
      <xdr:spPr>
        <a:xfrm rot="10800000" flipV="1">
          <a:off x="30642093" y="50514351"/>
          <a:ext cx="6882174" cy="1624738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211666</xdr:colOff>
      <xdr:row>242</xdr:row>
      <xdr:rowOff>134697</xdr:rowOff>
    </xdr:from>
    <xdr:to>
      <xdr:col>122</xdr:col>
      <xdr:colOff>112918</xdr:colOff>
      <xdr:row>249</xdr:row>
      <xdr:rowOff>89873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7051C74-C75C-1245-98AC-9B1DEE1110ED}"/>
            </a:ext>
          </a:extLst>
        </xdr:cNvPr>
        <xdr:cNvSpPr/>
      </xdr:nvSpPr>
      <xdr:spPr>
        <a:xfrm>
          <a:off x="37524266" y="49829797"/>
          <a:ext cx="2873052" cy="137757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175</xdr:row>
      <xdr:rowOff>153938</xdr:rowOff>
    </xdr:from>
    <xdr:to>
      <xdr:col>97</xdr:col>
      <xdr:colOff>115454</xdr:colOff>
      <xdr:row>182</xdr:row>
      <xdr:rowOff>153939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5FCF617-40C5-CA4C-A8D8-702FB788E729}"/>
            </a:ext>
          </a:extLst>
        </xdr:cNvPr>
        <xdr:cNvSpPr/>
      </xdr:nvSpPr>
      <xdr:spPr>
        <a:xfrm>
          <a:off x="29250024" y="36234638"/>
          <a:ext cx="2894830" cy="1422401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192424</xdr:colOff>
      <xdr:row>179</xdr:row>
      <xdr:rowOff>48106</xdr:rowOff>
    </xdr:from>
    <xdr:to>
      <xdr:col>92</xdr:col>
      <xdr:colOff>134697</xdr:colOff>
      <xdr:row>254</xdr:row>
      <xdr:rowOff>152648</xdr:rowOff>
    </xdr:to>
    <xdr:cxnSp macro="">
      <xdr:nvCxnSpPr>
        <xdr:cNvPr id="58" name="Elbow Connector 57">
          <a:extLst>
            <a:ext uri="{FF2B5EF4-FFF2-40B4-BE49-F238E27FC236}">
              <a16:creationId xmlns:a16="http://schemas.microsoft.com/office/drawing/2014/main" id="{C3ABC542-1D75-DE4D-B7EB-AB88E1AB0A3F}"/>
            </a:ext>
          </a:extLst>
        </xdr:cNvPr>
        <xdr:cNvCxnSpPr>
          <a:stCxn id="57" idx="1"/>
          <a:endCxn id="53" idx="2"/>
        </xdr:cNvCxnSpPr>
      </xdr:nvCxnSpPr>
      <xdr:spPr>
        <a:xfrm rot="10800000" flipH="1" flipV="1">
          <a:off x="29250024" y="36941606"/>
          <a:ext cx="1263073" cy="15344542"/>
        </a:xfrm>
        <a:prstGeom prst="bentConnector3">
          <a:avLst>
            <a:gd name="adj1" fmla="val -5592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196004</xdr:colOff>
      <xdr:row>331</xdr:row>
      <xdr:rowOff>168005</xdr:rowOff>
    </xdr:from>
    <xdr:to>
      <xdr:col>93</xdr:col>
      <xdr:colOff>123793</xdr:colOff>
      <xdr:row>334</xdr:row>
      <xdr:rowOff>28544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76706A2-4BFF-8B48-82CA-EDA81A6DEB41}"/>
            </a:ext>
          </a:extLst>
        </xdr:cNvPr>
        <xdr:cNvGrpSpPr/>
      </xdr:nvGrpSpPr>
      <xdr:grpSpPr>
        <a:xfrm>
          <a:off x="34968086" y="63929781"/>
          <a:ext cx="407278" cy="435926"/>
          <a:chOff x="9311277" y="9893127"/>
          <a:chExt cx="283813" cy="474111"/>
        </a:xfrm>
      </xdr:grpSpPr>
      <xdr:sp macro="" textlink="">
        <xdr:nvSpPr>
          <xdr:cNvPr id="60" name="Oval 59">
            <a:extLst>
              <a:ext uri="{FF2B5EF4-FFF2-40B4-BE49-F238E27FC236}">
                <a16:creationId xmlns:a16="http://schemas.microsoft.com/office/drawing/2014/main" id="{1360858C-4967-F917-5635-AFD112759C9C}"/>
              </a:ext>
            </a:extLst>
          </xdr:cNvPr>
          <xdr:cNvSpPr/>
        </xdr:nvSpPr>
        <xdr:spPr>
          <a:xfrm>
            <a:off x="9311277" y="9893127"/>
            <a:ext cx="283813" cy="275549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r>
              <a:rPr lang="en-US" sz="2000" kern="1200"/>
              <a:t>+</a:t>
            </a:r>
          </a:p>
        </xdr:txBody>
      </xdr: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ED7EBA2A-CBDE-7573-573F-E5CA732F6FA1}"/>
              </a:ext>
            </a:extLst>
          </xdr:cNvPr>
          <xdr:cNvCxnSpPr>
            <a:stCxn id="60" idx="4"/>
          </xdr:cNvCxnSpPr>
        </xdr:nvCxnSpPr>
        <xdr:spPr>
          <a:xfrm>
            <a:off x="9453185" y="10168676"/>
            <a:ext cx="80" cy="1985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88</xdr:col>
      <xdr:colOff>197140</xdr:colOff>
      <xdr:row>275</xdr:row>
      <xdr:rowOff>201650</xdr:rowOff>
    </xdr:from>
    <xdr:to>
      <xdr:col>92</xdr:col>
      <xdr:colOff>196004</xdr:colOff>
      <xdr:row>332</xdr:row>
      <xdr:rowOff>100618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6BDC9F8B-F833-D247-A71A-D5C238D7BD38}"/>
            </a:ext>
          </a:extLst>
        </xdr:cNvPr>
        <xdr:cNvCxnSpPr>
          <a:stCxn id="14" idx="1"/>
          <a:endCxn id="60" idx="2"/>
        </xdr:cNvCxnSpPr>
      </xdr:nvCxnSpPr>
      <xdr:spPr>
        <a:xfrm rot="10800000" flipH="1" flipV="1">
          <a:off x="29254740" y="56602350"/>
          <a:ext cx="1319664" cy="11481368"/>
        </a:xfrm>
        <a:prstGeom prst="bentConnector3">
          <a:avLst>
            <a:gd name="adj1" fmla="val -4850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235670</xdr:colOff>
      <xdr:row>321</xdr:row>
      <xdr:rowOff>152558</xdr:rowOff>
    </xdr:from>
    <xdr:to>
      <xdr:col>97</xdr:col>
      <xdr:colOff>78557</xdr:colOff>
      <xdr:row>328</xdr:row>
      <xdr:rowOff>65464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D70381B-2FEF-8442-8CAF-9C1FB87B21D7}"/>
            </a:ext>
          </a:extLst>
        </xdr:cNvPr>
        <xdr:cNvSpPr/>
      </xdr:nvSpPr>
      <xdr:spPr>
        <a:xfrm>
          <a:off x="29293270" y="65900458"/>
          <a:ext cx="2814687" cy="133530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92</xdr:col>
      <xdr:colOff>320774</xdr:colOff>
      <xdr:row>328</xdr:row>
      <xdr:rowOff>65463</xdr:rowOff>
    </xdr:from>
    <xdr:to>
      <xdr:col>92</xdr:col>
      <xdr:colOff>323559</xdr:colOff>
      <xdr:row>331</xdr:row>
      <xdr:rowOff>168004</xdr:rowOff>
    </xdr:to>
    <xdr:cxnSp macro="">
      <xdr:nvCxnSpPr>
        <xdr:cNvPr id="64" name="Elbow Connector 63">
          <a:extLst>
            <a:ext uri="{FF2B5EF4-FFF2-40B4-BE49-F238E27FC236}">
              <a16:creationId xmlns:a16="http://schemas.microsoft.com/office/drawing/2014/main" id="{F6154B04-53E5-CB42-B999-6FD9707E6D60}"/>
            </a:ext>
          </a:extLst>
        </xdr:cNvPr>
        <xdr:cNvCxnSpPr>
          <a:stCxn id="63" idx="2"/>
          <a:endCxn id="60" idx="0"/>
        </xdr:cNvCxnSpPr>
      </xdr:nvCxnSpPr>
      <xdr:spPr>
        <a:xfrm rot="16200000" flipH="1">
          <a:off x="30344496" y="67590441"/>
          <a:ext cx="712141" cy="27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170257</xdr:colOff>
      <xdr:row>37</xdr:row>
      <xdr:rowOff>114300</xdr:rowOff>
    </xdr:from>
    <xdr:to>
      <xdr:col>32</xdr:col>
      <xdr:colOff>26459</xdr:colOff>
      <xdr:row>46</xdr:row>
      <xdr:rowOff>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F18E7FF-51DD-5C49-907C-637A2BE9D038}"/>
            </a:ext>
          </a:extLst>
        </xdr:cNvPr>
        <xdr:cNvSpPr/>
      </xdr:nvSpPr>
      <xdr:spPr>
        <a:xfrm>
          <a:off x="500457" y="7886700"/>
          <a:ext cx="10092402" cy="1981201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 kern="1200"/>
            <a:t>Word Embedding</a:t>
          </a:r>
        </a:p>
      </xdr:txBody>
    </xdr:sp>
    <xdr:clientData/>
  </xdr:twoCellAnchor>
  <xdr:twoCellAnchor>
    <xdr:from>
      <xdr:col>24</xdr:col>
      <xdr:colOff>225778</xdr:colOff>
      <xdr:row>216</xdr:row>
      <xdr:rowOff>164316</xdr:rowOff>
    </xdr:from>
    <xdr:to>
      <xdr:col>31</xdr:col>
      <xdr:colOff>174978</xdr:colOff>
      <xdr:row>222</xdr:row>
      <xdr:rowOff>91240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FF54284-6777-FE4A-A320-6AD7D8B07809}"/>
            </a:ext>
          </a:extLst>
        </xdr:cNvPr>
        <xdr:cNvSpPr/>
      </xdr:nvSpPr>
      <xdr:spPr>
        <a:xfrm>
          <a:off x="8150578" y="44576216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88</xdr:col>
      <xdr:colOff>219506</xdr:colOff>
      <xdr:row>202</xdr:row>
      <xdr:rowOff>141111</xdr:rowOff>
    </xdr:from>
    <xdr:to>
      <xdr:col>95</xdr:col>
      <xdr:colOff>168706</xdr:colOff>
      <xdr:row>208</xdr:row>
      <xdr:rowOff>68035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7AB6E14-B3A0-1749-A0DB-82E821CAF752}"/>
            </a:ext>
          </a:extLst>
        </xdr:cNvPr>
        <xdr:cNvSpPr/>
      </xdr:nvSpPr>
      <xdr:spPr>
        <a:xfrm>
          <a:off x="29277106" y="41708211"/>
          <a:ext cx="2260600" cy="1146124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28</xdr:col>
      <xdr:colOff>35748</xdr:colOff>
      <xdr:row>205</xdr:row>
      <xdr:rowOff>104574</xdr:rowOff>
    </xdr:from>
    <xdr:to>
      <xdr:col>88</xdr:col>
      <xdr:colOff>219505</xdr:colOff>
      <xdr:row>222</xdr:row>
      <xdr:rowOff>91240</xdr:rowOff>
    </xdr:to>
    <xdr:cxnSp macro="">
      <xdr:nvCxnSpPr>
        <xdr:cNvPr id="69" name="Curved Connector 68">
          <a:extLst>
            <a:ext uri="{FF2B5EF4-FFF2-40B4-BE49-F238E27FC236}">
              <a16:creationId xmlns:a16="http://schemas.microsoft.com/office/drawing/2014/main" id="{5F7A914C-CA10-D641-A89E-069B46AAA50F}"/>
            </a:ext>
          </a:extLst>
        </xdr:cNvPr>
        <xdr:cNvCxnSpPr>
          <a:stCxn id="67" idx="2"/>
          <a:endCxn id="68" idx="1"/>
        </xdr:cNvCxnSpPr>
      </xdr:nvCxnSpPr>
      <xdr:spPr>
        <a:xfrm rot="5400000" flipH="1" flipV="1">
          <a:off x="17558694" y="34003928"/>
          <a:ext cx="3441066" cy="19995757"/>
        </a:xfrm>
        <a:prstGeom prst="curvedConnector4">
          <a:avLst>
            <a:gd name="adj1" fmla="val -91111"/>
            <a:gd name="adj2" fmla="val 5282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03B0-B8D1-D744-9424-D4A7BFA3F291}">
  <dimension ref="C3:ED452"/>
  <sheetViews>
    <sheetView tabSelected="1" topLeftCell="O228" zoomScale="147" zoomScaleNormal="147" workbookViewId="0">
      <selection activeCell="M11" sqref="M11"/>
    </sheetView>
  </sheetViews>
  <sheetFormatPr defaultColWidth="4.33203125" defaultRowHeight="15" x14ac:dyDescent="0.5"/>
  <cols>
    <col min="1" max="2" width="4.33203125" style="3"/>
    <col min="3" max="7" width="5" style="3" bestFit="1" customWidth="1"/>
    <col min="8" max="9" width="6" style="3" bestFit="1" customWidth="1"/>
    <col min="10" max="11" width="5" style="3" bestFit="1" customWidth="1"/>
    <col min="12" max="14" width="6" style="3" bestFit="1" customWidth="1"/>
    <col min="15" max="15" width="10" style="3" bestFit="1" customWidth="1"/>
    <col min="16" max="20" width="6" style="3" bestFit="1" customWidth="1"/>
    <col min="21" max="21" width="4.33203125" style="3"/>
    <col min="22" max="22" width="6" style="3" bestFit="1" customWidth="1"/>
    <col min="23" max="25" width="4.33203125" style="3"/>
    <col min="26" max="31" width="7" style="3" bestFit="1" customWidth="1"/>
    <col min="32" max="33" width="4.33203125" style="3"/>
    <col min="34" max="34" width="5" style="3" bestFit="1" customWidth="1"/>
    <col min="35" max="37" width="6" style="3" bestFit="1" customWidth="1"/>
    <col min="38" max="38" width="4.33203125" style="3"/>
    <col min="39" max="40" width="6" style="3" bestFit="1" customWidth="1"/>
    <col min="41" max="41" width="7" style="3" bestFit="1" customWidth="1"/>
    <col min="42" max="42" width="6" style="3" bestFit="1" customWidth="1"/>
    <col min="43" max="43" width="7" style="3" bestFit="1" customWidth="1"/>
    <col min="44" max="44" width="6" style="3" bestFit="1" customWidth="1"/>
    <col min="45" max="48" width="4.33203125" style="3"/>
    <col min="49" max="49" width="7" style="3" bestFit="1" customWidth="1"/>
    <col min="50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61" width="4.33203125" style="3"/>
    <col min="62" max="71" width="5" style="3" bestFit="1" customWidth="1"/>
    <col min="72" max="83" width="6" style="3" bestFit="1" customWidth="1"/>
    <col min="84" max="84" width="4.33203125" style="3" customWidth="1"/>
    <col min="85" max="86" width="6" style="3" bestFit="1" customWidth="1"/>
    <col min="87" max="89" width="4.33203125" style="3"/>
    <col min="90" max="90" width="4.33203125" style="3" customWidth="1"/>
    <col min="91" max="91" width="7" style="3" bestFit="1" customWidth="1"/>
    <col min="92" max="92" width="4.33203125" style="3" customWidth="1"/>
    <col min="93" max="97" width="7" style="3" bestFit="1" customWidth="1"/>
    <col min="98" max="99" width="4.33203125" style="3"/>
    <col min="100" max="100" width="5" style="3" bestFit="1" customWidth="1"/>
    <col min="101" max="103" width="6" style="3" bestFit="1" customWidth="1"/>
    <col min="104" max="104" width="5" style="3" bestFit="1" customWidth="1"/>
    <col min="105" max="111" width="8" style="3" bestFit="1" customWidth="1"/>
    <col min="112" max="112" width="6" style="3" bestFit="1" customWidth="1"/>
    <col min="113" max="114" width="4.33203125" style="3"/>
    <col min="115" max="115" width="4.33203125" style="3" customWidth="1"/>
    <col min="116" max="122" width="7" style="3" bestFit="1" customWidth="1"/>
    <col min="123" max="16384" width="4.33203125" style="3"/>
  </cols>
  <sheetData>
    <row r="3" spans="25:99" x14ac:dyDescent="0.5">
      <c r="BJ3" s="4"/>
    </row>
    <row r="6" spans="25:99" x14ac:dyDescent="0.5">
      <c r="CK6" s="4" t="s">
        <v>50</v>
      </c>
    </row>
    <row r="7" spans="25:99" x14ac:dyDescent="0.5">
      <c r="CK7" s="89" t="s">
        <v>51</v>
      </c>
      <c r="CQ7" s="89"/>
    </row>
    <row r="8" spans="25:99" x14ac:dyDescent="0.5">
      <c r="CR8" s="78"/>
    </row>
    <row r="9" spans="25:99" x14ac:dyDescent="0.5">
      <c r="CL9" s="93" t="s">
        <v>2</v>
      </c>
      <c r="CM9" s="94" t="s">
        <v>24</v>
      </c>
      <c r="CN9" s="96" t="s">
        <v>11</v>
      </c>
      <c r="CO9" s="96" t="s">
        <v>5</v>
      </c>
      <c r="CP9" s="96" t="s">
        <v>9</v>
      </c>
      <c r="CQ9" s="96" t="s">
        <v>21</v>
      </c>
      <c r="CR9" s="94"/>
      <c r="CS9" s="94"/>
      <c r="CT9" s="78"/>
    </row>
    <row r="11" spans="25:99" x14ac:dyDescent="0.5">
      <c r="CK11" s="2" t="s">
        <v>3</v>
      </c>
      <c r="CL11" s="2">
        <v>0</v>
      </c>
      <c r="CM11" s="2">
        <v>1</v>
      </c>
      <c r="CN11" s="2">
        <v>2</v>
      </c>
      <c r="CO11" s="2">
        <v>3</v>
      </c>
      <c r="CP11" s="2">
        <v>4</v>
      </c>
      <c r="CQ11" s="2">
        <v>5</v>
      </c>
      <c r="CR11" s="2">
        <v>6</v>
      </c>
      <c r="CS11" s="2">
        <v>7</v>
      </c>
    </row>
    <row r="12" spans="25:99" x14ac:dyDescent="0.5">
      <c r="CF12" s="3" t="str" cm="1">
        <f t="array" ref="CF12:CF35">TRANSPOSE($BJ$39:$CG$39)</f>
        <v>[S]</v>
      </c>
      <c r="CH12" s="2" cm="1">
        <f t="array" ref="CH12:CH35">_xlfn.SEQUENCE(24,1,0)</f>
        <v>0</v>
      </c>
      <c r="CK12" s="2"/>
      <c r="CL12" s="54" cm="1">
        <f t="array" ref="CL12:CL35">IF($CF12:$CF35=CL9,1,0)</f>
        <v>1</v>
      </c>
      <c r="CM12" s="54" cm="1">
        <f t="array" ref="CM12:CM35">IF($CF12:$CF35=CM9,1,0)</f>
        <v>0</v>
      </c>
      <c r="CN12" s="54" cm="1">
        <f t="array" ref="CN12:CN35">IF($CF12:$CF35=CN9,1,0)</f>
        <v>0</v>
      </c>
      <c r="CO12" s="54" cm="1">
        <f t="array" ref="CO12:CO35">IF($CF12:$CF35=CO9,1,0)</f>
        <v>0</v>
      </c>
      <c r="CP12" s="54" cm="1">
        <f t="array" ref="CP12:CP35">IF($CF12:$CF35=CP9,1,0)</f>
        <v>0</v>
      </c>
      <c r="CQ12" s="54" cm="1">
        <f t="array" ref="CQ12:CQ35">IF($CF12:$CF35=CQ9,1,0)</f>
        <v>0</v>
      </c>
      <c r="CR12" s="54" cm="1">
        <f t="array" ref="CR12:CR35">IF($CF12:$CF35=CR9,1,0)</f>
        <v>0</v>
      </c>
      <c r="CS12" s="54" cm="1">
        <f t="array" ref="CS12:CS35">IF($CF12:$CF35=CS9,1,0)</f>
        <v>0</v>
      </c>
      <c r="CT12" s="2"/>
      <c r="CU12" s="4"/>
    </row>
    <row r="13" spans="25:99" x14ac:dyDescent="0.5">
      <c r="CF13" s="3" t="str">
        <v>a</v>
      </c>
      <c r="CH13" s="2">
        <v>1</v>
      </c>
      <c r="CK13" s="2"/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2"/>
    </row>
    <row r="14" spans="25:99" x14ac:dyDescent="0.5">
      <c r="CF14" s="3" t="str">
        <v>and</v>
      </c>
      <c r="CH14" s="2">
        <v>2</v>
      </c>
      <c r="CK14" s="2"/>
      <c r="CL14" s="7">
        <v>0</v>
      </c>
      <c r="CM14" s="7">
        <v>0</v>
      </c>
      <c r="CN14" s="7">
        <v>0</v>
      </c>
      <c r="CO14" s="7">
        <v>1</v>
      </c>
      <c r="CP14" s="7">
        <v>0</v>
      </c>
      <c r="CQ14" s="7">
        <v>0</v>
      </c>
      <c r="CR14" s="7">
        <v>0</v>
      </c>
      <c r="CS14" s="7">
        <v>0</v>
      </c>
      <c r="CT14" s="2"/>
    </row>
    <row r="15" spans="25:99" x14ac:dyDescent="0.5">
      <c r="CF15" s="3" t="str">
        <v>apples</v>
      </c>
      <c r="CH15" s="2">
        <v>3</v>
      </c>
      <c r="CK15" s="2"/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2"/>
    </row>
    <row r="16" spans="25:99" x14ac:dyDescent="0.5">
      <c r="Y16" s="4" t="s">
        <v>46</v>
      </c>
      <c r="BM16" s="2"/>
      <c r="BN16" s="2"/>
      <c r="BO16" s="2"/>
      <c r="BP16" s="2"/>
      <c r="BQ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3" t="str">
        <v>brings</v>
      </c>
      <c r="CH16" s="2">
        <v>4</v>
      </c>
      <c r="CK16" s="2"/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2"/>
    </row>
    <row r="17" spans="20:98" x14ac:dyDescent="0.5"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3" t="str">
        <v>by</v>
      </c>
      <c r="CH17" s="2">
        <v>5</v>
      </c>
      <c r="CK17" s="2"/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2"/>
    </row>
    <row r="18" spans="20:98" x14ac:dyDescent="0.5">
      <c r="Z18" s="92" t="s">
        <v>59</v>
      </c>
      <c r="AA18" s="92" t="s">
        <v>54</v>
      </c>
      <c r="AB18" s="92" t="s">
        <v>63</v>
      </c>
      <c r="AC18" s="92" t="s">
        <v>59</v>
      </c>
      <c r="AD18" s="92" t="s">
        <v>55</v>
      </c>
      <c r="AE18" s="92" t="s">
        <v>61</v>
      </c>
      <c r="AF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3" t="str">
        <v>cat</v>
      </c>
      <c r="CH18" s="2">
        <v>6</v>
      </c>
      <c r="CK18" s="2"/>
      <c r="CL18" s="7">
        <v>0</v>
      </c>
      <c r="CM18" s="7">
        <v>0</v>
      </c>
      <c r="CN18" s="7">
        <v>0</v>
      </c>
      <c r="CO18" s="7">
        <v>0</v>
      </c>
      <c r="CP18" s="7">
        <v>1</v>
      </c>
      <c r="CQ18" s="7">
        <v>0</v>
      </c>
      <c r="CR18" s="7">
        <v>0</v>
      </c>
      <c r="CS18" s="7">
        <v>0</v>
      </c>
      <c r="CT18" s="2"/>
    </row>
    <row r="19" spans="20:98" x14ac:dyDescent="0.5">
      <c r="Z19" s="5"/>
      <c r="AA19" s="5"/>
      <c r="AB19" s="5"/>
      <c r="AC19" s="5"/>
      <c r="AD19" s="5"/>
      <c r="AE19" s="5"/>
      <c r="AF19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3" t="str">
        <v>day</v>
      </c>
      <c r="CH19" s="2">
        <v>7</v>
      </c>
      <c r="CK19" s="2"/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2"/>
    </row>
    <row r="20" spans="20:98" x14ac:dyDescent="0.5">
      <c r="Y20" s="2" t="s">
        <v>3</v>
      </c>
      <c r="Z20" s="2">
        <v>0</v>
      </c>
      <c r="AA20" s="2">
        <v>1</v>
      </c>
      <c r="AB20" s="2">
        <v>2</v>
      </c>
      <c r="AC20" s="2">
        <v>3</v>
      </c>
      <c r="AD20" s="2">
        <v>4</v>
      </c>
      <c r="AE20" s="2">
        <v>5</v>
      </c>
      <c r="AF20"/>
      <c r="AG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3" t="str">
        <v>dog</v>
      </c>
      <c r="CH20" s="2">
        <v>8</v>
      </c>
      <c r="CK20" s="2"/>
      <c r="CL20" s="7">
        <v>0</v>
      </c>
      <c r="CM20" s="7">
        <v>0</v>
      </c>
      <c r="CN20" s="7">
        <v>1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2"/>
    </row>
    <row r="21" spans="20:98" x14ac:dyDescent="0.5">
      <c r="T21" s="3" t="str" cm="1">
        <f t="array" ref="T21:T36">TRANSPOSE(C39:R39)</f>
        <v>狗</v>
      </c>
      <c r="V21" s="2" cm="1">
        <f t="array" ref="V21:V36">_xlfn.SEQUENCE(16,1,0)</f>
        <v>0</v>
      </c>
      <c r="Y21" s="2"/>
      <c r="Z21" s="54" cm="1">
        <f t="array" ref="Z21:Z36">IF(_xlfn.ANCHORARRAY($T21)=Z18,1,0)</f>
        <v>0</v>
      </c>
      <c r="AA21" s="54" cm="1">
        <f t="array" ref="AA21:AA36">IF(_xlfn.ANCHORARRAY($T21)=AA18,1,0)</f>
        <v>1</v>
      </c>
      <c r="AB21" s="54" cm="1">
        <f t="array" ref="AB21:AB36">IF(_xlfn.ANCHORARRAY($T21)=AB18,1,0)</f>
        <v>0</v>
      </c>
      <c r="AC21" s="54" cm="1">
        <f t="array" ref="AC21:AC36">IF(_xlfn.ANCHORARRAY($T21)=AC18,1,0)</f>
        <v>0</v>
      </c>
      <c r="AD21" s="54" cm="1">
        <f t="array" ref="AD21:AD36">IF(_xlfn.ANCHORARRAY($T21)=AD18,1,0)</f>
        <v>0</v>
      </c>
      <c r="AE21" s="54" cm="1">
        <f t="array" ref="AE21:AE36">IF(_xlfn.ANCHORARRAY($T21)=AE18,1,0)</f>
        <v>0</v>
      </c>
      <c r="AF21"/>
      <c r="AG21"/>
      <c r="AH21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3" t="str">
        <v>eat</v>
      </c>
      <c r="CH21" s="2">
        <v>9</v>
      </c>
      <c r="CK21" s="2"/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2"/>
    </row>
    <row r="22" spans="20:98" x14ac:dyDescent="0.5">
      <c r="T22" s="3" t="str">
        <v>貓</v>
      </c>
      <c r="V22" s="2">
        <v>1</v>
      </c>
      <c r="Y22" s="2"/>
      <c r="Z22" s="7">
        <v>0</v>
      </c>
      <c r="AA22" s="7">
        <v>0</v>
      </c>
      <c r="AB22" s="7">
        <v>0</v>
      </c>
      <c r="AC22" s="7">
        <v>0</v>
      </c>
      <c r="AD22" s="7">
        <v>1</v>
      </c>
      <c r="AE22" s="7">
        <v>0</v>
      </c>
      <c r="AF22"/>
      <c r="AG22"/>
      <c r="AH2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3" t="str">
        <v>fill</v>
      </c>
      <c r="CH22" s="2">
        <v>10</v>
      </c>
      <c r="CK22" s="2"/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2"/>
    </row>
    <row r="23" spans="20:98" x14ac:dyDescent="0.5">
      <c r="T23" s="3" t="str">
        <v>牛</v>
      </c>
      <c r="V23" s="2">
        <v>2</v>
      </c>
      <c r="Y23" s="2"/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/>
      <c r="AG23"/>
      <c r="AH23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3" t="str">
        <v>friend</v>
      </c>
      <c r="CH23" s="2">
        <v>11</v>
      </c>
      <c r="CK23" s="2"/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2"/>
    </row>
    <row r="24" spans="20:98" x14ac:dyDescent="0.5">
      <c r="T24" s="3" t="str">
        <v>大</v>
      </c>
      <c r="V24" s="2">
        <v>3</v>
      </c>
      <c r="Y24" s="2"/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/>
      <c r="AG24"/>
      <c r="AH24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" t="str">
        <v>happy</v>
      </c>
      <c r="CH24" s="2">
        <v>12</v>
      </c>
      <c r="CK24" s="2"/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2"/>
    </row>
    <row r="25" spans="20:98" x14ac:dyDescent="0.5">
      <c r="T25" s="3" t="str">
        <v>中</v>
      </c>
      <c r="V25" s="2">
        <v>4</v>
      </c>
      <c r="Y25" s="2"/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/>
      <c r="AG25"/>
      <c r="AH25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3" t="str">
        <v>house</v>
      </c>
      <c r="CH25" s="2">
        <v>13</v>
      </c>
      <c r="CK25" s="2"/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2"/>
    </row>
    <row r="26" spans="20:98" x14ac:dyDescent="0.5">
      <c r="T26" s="3" t="str">
        <v>小</v>
      </c>
      <c r="V26" s="2">
        <v>5</v>
      </c>
      <c r="Y26" s="2"/>
      <c r="Z26" s="7">
        <v>1</v>
      </c>
      <c r="AA26" s="7">
        <v>0</v>
      </c>
      <c r="AB26" s="7">
        <v>0</v>
      </c>
      <c r="AC26" s="7">
        <v>1</v>
      </c>
      <c r="AD26" s="7">
        <v>0</v>
      </c>
      <c r="AE26" s="7">
        <v>0</v>
      </c>
      <c r="AF26"/>
      <c r="AG26"/>
      <c r="AH26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3" t="str">
        <v>laughter</v>
      </c>
      <c r="CH26" s="2">
        <v>14</v>
      </c>
      <c r="CK26" s="2"/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2"/>
    </row>
    <row r="27" spans="20:98" x14ac:dyDescent="0.5">
      <c r="T27" s="3" t="str">
        <v>吃</v>
      </c>
      <c r="V27" s="2">
        <v>6</v>
      </c>
      <c r="Y27" s="2"/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/>
      <c r="AG27"/>
      <c r="AH27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" t="str">
        <v>light</v>
      </c>
      <c r="CH27" s="2">
        <v>15</v>
      </c>
      <c r="CK27" s="2"/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2"/>
    </row>
    <row r="28" spans="20:98" x14ac:dyDescent="0.5">
      <c r="T28" s="3" t="str">
        <v>玩</v>
      </c>
      <c r="V28" s="2">
        <v>7</v>
      </c>
      <c r="Y28" s="2"/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/>
      <c r="AG28"/>
      <c r="AH28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3" t="str">
        <v>music</v>
      </c>
      <c r="CH28" s="2">
        <v>16</v>
      </c>
      <c r="CK28" s="2"/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2"/>
    </row>
    <row r="29" spans="20:98" x14ac:dyDescent="0.5">
      <c r="T29" s="3" t="str">
        <v>跑</v>
      </c>
      <c r="V29" s="2">
        <v>8</v>
      </c>
      <c r="Y29" s="2"/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/>
      <c r="AG29"/>
      <c r="AH29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3" t="str">
        <v>night</v>
      </c>
      <c r="CH29" s="2">
        <v>17</v>
      </c>
      <c r="CK29" s="2"/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2"/>
    </row>
    <row r="30" spans="20:98" x14ac:dyDescent="0.5">
      <c r="T30" s="3" t="str">
        <v>和</v>
      </c>
      <c r="V30" s="2">
        <v>9</v>
      </c>
      <c r="Y30" s="2"/>
      <c r="Z30" s="54">
        <v>0</v>
      </c>
      <c r="AA30" s="54">
        <v>0</v>
      </c>
      <c r="AB30" s="54">
        <v>1</v>
      </c>
      <c r="AC30" s="54">
        <v>0</v>
      </c>
      <c r="AD30" s="54">
        <v>0</v>
      </c>
      <c r="AE30" s="54">
        <v>0</v>
      </c>
      <c r="AF30"/>
      <c r="AG30"/>
      <c r="AH30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" t="str">
        <v>play</v>
      </c>
      <c r="CH30" s="2">
        <v>18</v>
      </c>
      <c r="CK30" s="2"/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1</v>
      </c>
      <c r="CR30" s="7">
        <v>0</v>
      </c>
      <c r="CS30" s="7">
        <v>0</v>
      </c>
      <c r="CT30" s="2"/>
    </row>
    <row r="31" spans="20:98" x14ac:dyDescent="0.5">
      <c r="T31" s="3" t="str">
        <v>你</v>
      </c>
      <c r="V31" s="2">
        <v>10</v>
      </c>
      <c r="Y31" s="2"/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/>
      <c r="AG31"/>
      <c r="AH31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3" t="str">
        <v>quiet</v>
      </c>
      <c r="CH31" s="2">
        <v>19</v>
      </c>
      <c r="CK31" s="2"/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2"/>
    </row>
    <row r="32" spans="20:98" x14ac:dyDescent="0.5">
      <c r="T32" s="3" t="str">
        <v>我</v>
      </c>
      <c r="V32" s="2">
        <v>11</v>
      </c>
      <c r="Y32" s="2"/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/>
      <c r="AG32"/>
      <c r="AH3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3" t="str">
        <v>smile</v>
      </c>
      <c r="CH32" s="2">
        <v>20</v>
      </c>
      <c r="CK32" s="2"/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2"/>
    </row>
    <row r="33" spans="3:105" x14ac:dyDescent="0.5">
      <c r="T33" s="3" t="str">
        <v>他</v>
      </c>
      <c r="V33" s="2">
        <v>12</v>
      </c>
      <c r="Y33" s="2"/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/>
      <c r="AG33"/>
      <c r="AH33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3" t="str">
        <v>the</v>
      </c>
      <c r="CH33" s="2">
        <v>21</v>
      </c>
      <c r="CK33" s="2"/>
      <c r="CL33" s="7">
        <v>0</v>
      </c>
      <c r="CM33" s="7">
        <v>1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2"/>
    </row>
    <row r="34" spans="3:105" x14ac:dyDescent="0.5">
      <c r="T34" s="3" t="str">
        <v>的</v>
      </c>
      <c r="V34" s="2">
        <v>13</v>
      </c>
      <c r="Y34" s="2"/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/>
      <c r="AG34"/>
      <c r="AH34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3" t="str">
        <v>to</v>
      </c>
      <c r="CH34" s="2">
        <v>22</v>
      </c>
      <c r="CK34" s="2"/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2"/>
    </row>
    <row r="35" spans="3:105" x14ac:dyDescent="0.5">
      <c r="T35" s="3" t="str">
        <v>好</v>
      </c>
      <c r="V35" s="2">
        <v>14</v>
      </c>
      <c r="Y35" s="2"/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/>
      <c r="AG35"/>
      <c r="AH35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3" t="str">
        <v>water</v>
      </c>
      <c r="CH35" s="2">
        <v>23</v>
      </c>
      <c r="CK35" s="2"/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2"/>
    </row>
    <row r="36" spans="3:105" x14ac:dyDescent="0.5">
      <c r="T36" s="3" t="str">
        <v>在</v>
      </c>
      <c r="V36" s="2">
        <v>15</v>
      </c>
      <c r="Y36" s="2"/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/>
      <c r="AG36"/>
      <c r="AH36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105" x14ac:dyDescent="0.5">
      <c r="AG37"/>
      <c r="AH37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105" x14ac:dyDescent="0.5">
      <c r="AG38"/>
      <c r="AH38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spans="3:105" ht="37" customHeight="1" x14ac:dyDescent="0.5">
      <c r="C39" s="89" t="s">
        <v>54</v>
      </c>
      <c r="D39" s="89" t="s">
        <v>55</v>
      </c>
      <c r="E39" s="89" t="s">
        <v>56</v>
      </c>
      <c r="F39" s="89" t="s">
        <v>57</v>
      </c>
      <c r="G39" s="89" t="s">
        <v>58</v>
      </c>
      <c r="H39" s="89" t="s">
        <v>59</v>
      </c>
      <c r="I39" s="89" t="s">
        <v>60</v>
      </c>
      <c r="J39" s="89" t="s">
        <v>61</v>
      </c>
      <c r="K39" s="89" t="s">
        <v>62</v>
      </c>
      <c r="L39" s="89" t="s">
        <v>63</v>
      </c>
      <c r="M39" s="89" t="s">
        <v>64</v>
      </c>
      <c r="N39" s="89" t="s">
        <v>65</v>
      </c>
      <c r="O39" s="89" t="s">
        <v>66</v>
      </c>
      <c r="P39" s="89" t="s">
        <v>67</v>
      </c>
      <c r="Q39" s="89" t="s">
        <v>68</v>
      </c>
      <c r="R39" s="89" t="s">
        <v>69</v>
      </c>
      <c r="AF39"/>
      <c r="AG39"/>
      <c r="AH39"/>
      <c r="BJ39" s="5" t="s">
        <v>2</v>
      </c>
      <c r="BK39" s="5" t="s">
        <v>4</v>
      </c>
      <c r="BL39" s="5" t="s">
        <v>5</v>
      </c>
      <c r="BM39" s="5" t="s">
        <v>6</v>
      </c>
      <c r="BN39" s="5" t="s">
        <v>7</v>
      </c>
      <c r="BO39" s="5" t="s">
        <v>8</v>
      </c>
      <c r="BP39" s="5" t="s">
        <v>9</v>
      </c>
      <c r="BQ39" s="5" t="s">
        <v>10</v>
      </c>
      <c r="BR39" s="5" t="s">
        <v>11</v>
      </c>
      <c r="BS39" s="5" t="s">
        <v>12</v>
      </c>
      <c r="BT39" s="5" t="s">
        <v>13</v>
      </c>
      <c r="BU39" s="5" t="s">
        <v>14</v>
      </c>
      <c r="BV39" s="5" t="s">
        <v>15</v>
      </c>
      <c r="BW39" s="5" t="s">
        <v>16</v>
      </c>
      <c r="BX39" s="5" t="s">
        <v>17</v>
      </c>
      <c r="BY39" s="5" t="s">
        <v>18</v>
      </c>
      <c r="BZ39" s="5" t="s">
        <v>19</v>
      </c>
      <c r="CA39" s="5" t="s">
        <v>20</v>
      </c>
      <c r="CB39" s="5" t="s">
        <v>21</v>
      </c>
      <c r="CC39" s="5" t="s">
        <v>22</v>
      </c>
      <c r="CD39" s="5" t="s">
        <v>23</v>
      </c>
      <c r="CE39" s="5" t="s">
        <v>24</v>
      </c>
      <c r="CF39" s="5" t="s">
        <v>25</v>
      </c>
      <c r="CG39" s="5" t="s">
        <v>26</v>
      </c>
      <c r="CI39" s="2"/>
      <c r="CJ39" s="2"/>
      <c r="CK39" s="2"/>
      <c r="CL39" s="2"/>
      <c r="CM39" s="2"/>
      <c r="CN39" s="2"/>
      <c r="CO39" s="2"/>
    </row>
    <row r="40" spans="3:105" x14ac:dyDescent="0.5">
      <c r="C40" s="2" cm="1">
        <f t="array" ref="C40:R40">_xlfn.SEQUENCE(1,16,0)</f>
        <v>0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>
        <v>6</v>
      </c>
      <c r="J40" s="2">
        <v>7</v>
      </c>
      <c r="K40" s="2">
        <v>8</v>
      </c>
      <c r="L40" s="2">
        <v>9</v>
      </c>
      <c r="M40" s="2">
        <v>10</v>
      </c>
      <c r="N40" s="3">
        <v>11</v>
      </c>
      <c r="O40" s="3">
        <v>12</v>
      </c>
      <c r="P40" s="3">
        <v>13</v>
      </c>
      <c r="Q40" s="3">
        <v>14</v>
      </c>
      <c r="R40" s="3">
        <v>15</v>
      </c>
      <c r="Z40" s="2" t="s">
        <v>27</v>
      </c>
      <c r="AA40" s="2" t="s">
        <v>27</v>
      </c>
      <c r="AB40" s="2" t="s">
        <v>27</v>
      </c>
      <c r="AC40" s="2" t="s">
        <v>27</v>
      </c>
      <c r="AD40" s="2" t="s">
        <v>27</v>
      </c>
      <c r="AE40" s="2" t="s">
        <v>27</v>
      </c>
      <c r="BJ40" s="2" cm="1">
        <f t="array" ref="BJ40:CG40">_xlfn.SEQUENCE(1,24,0)</f>
        <v>0</v>
      </c>
      <c r="BK40" s="2">
        <v>1</v>
      </c>
      <c r="BL40" s="2">
        <v>2</v>
      </c>
      <c r="BM40" s="2">
        <v>3</v>
      </c>
      <c r="BN40" s="2">
        <v>4</v>
      </c>
      <c r="BO40" s="2">
        <v>5</v>
      </c>
      <c r="BP40" s="2">
        <v>6</v>
      </c>
      <c r="BQ40" s="2">
        <v>7</v>
      </c>
      <c r="BR40" s="2">
        <v>8</v>
      </c>
      <c r="BS40" s="2">
        <v>9</v>
      </c>
      <c r="BT40" s="2">
        <v>10</v>
      </c>
      <c r="BU40" s="2">
        <v>11</v>
      </c>
      <c r="BV40" s="2">
        <v>12</v>
      </c>
      <c r="BW40" s="2">
        <v>13</v>
      </c>
      <c r="BX40" s="2">
        <v>14</v>
      </c>
      <c r="BY40" s="2">
        <v>15</v>
      </c>
      <c r="BZ40" s="2">
        <v>16</v>
      </c>
      <c r="CA40" s="2">
        <v>17</v>
      </c>
      <c r="CB40" s="2">
        <v>18</v>
      </c>
      <c r="CC40" s="2">
        <v>19</v>
      </c>
      <c r="CD40" s="2">
        <v>20</v>
      </c>
      <c r="CE40" s="2">
        <v>21</v>
      </c>
      <c r="CF40" s="2">
        <v>22</v>
      </c>
      <c r="CG40" s="2">
        <v>23</v>
      </c>
      <c r="CI40" s="2"/>
      <c r="CJ40" s="2"/>
      <c r="CK40" s="2"/>
      <c r="CL40" s="2" t="s">
        <v>27</v>
      </c>
      <c r="CM40" s="2" t="s">
        <v>27</v>
      </c>
      <c r="CN40" s="2" t="s">
        <v>27</v>
      </c>
      <c r="CO40" s="2" t="s">
        <v>27</v>
      </c>
      <c r="CP40" s="2" t="s">
        <v>27</v>
      </c>
      <c r="CQ40" s="2" t="s">
        <v>27</v>
      </c>
      <c r="CR40" s="2" t="s">
        <v>27</v>
      </c>
      <c r="CS40" s="2" t="s">
        <v>27</v>
      </c>
    </row>
    <row r="41" spans="3:105" x14ac:dyDescent="0.5">
      <c r="C41" s="46">
        <v>3</v>
      </c>
      <c r="D41" s="47">
        <v>0</v>
      </c>
      <c r="E41" s="47">
        <v>2</v>
      </c>
      <c r="F41" s="47">
        <v>1</v>
      </c>
      <c r="G41" s="47">
        <v>2</v>
      </c>
      <c r="H41" s="47">
        <v>3</v>
      </c>
      <c r="I41" s="47">
        <v>2</v>
      </c>
      <c r="J41" s="47">
        <v>2</v>
      </c>
      <c r="K41" s="47">
        <v>3</v>
      </c>
      <c r="L41" s="47">
        <v>0</v>
      </c>
      <c r="M41" s="47">
        <v>1</v>
      </c>
      <c r="N41" s="47">
        <v>0</v>
      </c>
      <c r="O41" s="47">
        <v>0</v>
      </c>
      <c r="P41" s="47">
        <v>0</v>
      </c>
      <c r="Q41" s="47">
        <v>0</v>
      </c>
      <c r="R41" s="48">
        <v>1</v>
      </c>
      <c r="S41" s="2" t="s">
        <v>28</v>
      </c>
      <c r="Z41" s="70" cm="1">
        <f t="array" ref="Z41:AE45">MMULT(C41:R45,Z21:AE36)</f>
        <v>3</v>
      </c>
      <c r="AA41" s="71">
        <v>3</v>
      </c>
      <c r="AB41" s="71">
        <v>0</v>
      </c>
      <c r="AC41" s="71">
        <v>3</v>
      </c>
      <c r="AD41" s="71">
        <v>0</v>
      </c>
      <c r="AE41" s="72">
        <v>2</v>
      </c>
      <c r="BJ41" s="9">
        <v>3</v>
      </c>
      <c r="BK41" s="9">
        <v>0</v>
      </c>
      <c r="BL41" s="9">
        <v>2</v>
      </c>
      <c r="BM41" s="9">
        <v>1</v>
      </c>
      <c r="BN41" s="9">
        <v>2</v>
      </c>
      <c r="BO41" s="9">
        <v>3</v>
      </c>
      <c r="BP41" s="9">
        <v>2</v>
      </c>
      <c r="BQ41" s="9">
        <v>2</v>
      </c>
      <c r="BR41" s="9">
        <v>3</v>
      </c>
      <c r="BS41" s="9">
        <v>0</v>
      </c>
      <c r="BT41" s="9">
        <v>2</v>
      </c>
      <c r="BU41" s="9">
        <v>2</v>
      </c>
      <c r="BV41" s="9">
        <v>0</v>
      </c>
      <c r="BW41" s="9">
        <v>2</v>
      </c>
      <c r="BX41" s="9">
        <v>2</v>
      </c>
      <c r="BY41" s="9">
        <v>2</v>
      </c>
      <c r="BZ41" s="9">
        <v>0</v>
      </c>
      <c r="CA41" s="9">
        <v>0</v>
      </c>
      <c r="CB41" s="9">
        <v>0</v>
      </c>
      <c r="CC41" s="9">
        <v>2</v>
      </c>
      <c r="CD41" s="9">
        <v>2</v>
      </c>
      <c r="CE41" s="9">
        <v>0</v>
      </c>
      <c r="CF41" s="9">
        <v>3</v>
      </c>
      <c r="CG41" s="9">
        <v>3</v>
      </c>
      <c r="CH41" s="2" t="s">
        <v>28</v>
      </c>
      <c r="CI41" s="2"/>
      <c r="CJ41" s="2"/>
      <c r="CK41" s="2"/>
      <c r="CL41" s="10" cm="1">
        <f t="array" ref="CL41:CS46">MMULT($BJ41:$CG46,CL12:CS35)</f>
        <v>3</v>
      </c>
      <c r="CM41" s="10">
        <v>0</v>
      </c>
      <c r="CN41" s="10">
        <v>3</v>
      </c>
      <c r="CO41" s="10">
        <v>2</v>
      </c>
      <c r="CP41" s="10">
        <v>2</v>
      </c>
      <c r="CQ41" s="10">
        <v>0</v>
      </c>
      <c r="CR41" s="10">
        <v>0</v>
      </c>
      <c r="CS41" s="10">
        <v>0</v>
      </c>
    </row>
    <row r="42" spans="3:105" x14ac:dyDescent="0.5">
      <c r="C42" s="49">
        <v>0</v>
      </c>
      <c r="D42" s="13">
        <v>3</v>
      </c>
      <c r="E42" s="13">
        <v>0</v>
      </c>
      <c r="F42" s="13">
        <v>3</v>
      </c>
      <c r="G42" s="13">
        <v>0</v>
      </c>
      <c r="H42" s="13">
        <v>2</v>
      </c>
      <c r="I42" s="13">
        <v>2</v>
      </c>
      <c r="J42" s="13">
        <v>1</v>
      </c>
      <c r="K42" s="13">
        <v>1</v>
      </c>
      <c r="L42" s="13">
        <v>3</v>
      </c>
      <c r="M42" s="13">
        <v>0</v>
      </c>
      <c r="N42" s="13">
        <v>1</v>
      </c>
      <c r="O42" s="13">
        <v>1</v>
      </c>
      <c r="P42" s="13">
        <v>0</v>
      </c>
      <c r="Q42" s="13">
        <v>1</v>
      </c>
      <c r="R42" s="50">
        <v>0</v>
      </c>
      <c r="S42" s="2" t="s">
        <v>28</v>
      </c>
      <c r="Z42" s="73">
        <v>2</v>
      </c>
      <c r="AA42" s="11">
        <v>0</v>
      </c>
      <c r="AB42" s="11">
        <v>3</v>
      </c>
      <c r="AC42" s="11">
        <v>2</v>
      </c>
      <c r="AD42" s="11">
        <v>3</v>
      </c>
      <c r="AE42" s="74">
        <v>1</v>
      </c>
      <c r="BJ42" s="13">
        <v>0</v>
      </c>
      <c r="BK42" s="13">
        <v>3</v>
      </c>
      <c r="BL42" s="13">
        <v>0</v>
      </c>
      <c r="BM42" s="13">
        <v>3</v>
      </c>
      <c r="BN42" s="13">
        <v>0</v>
      </c>
      <c r="BO42" s="13">
        <v>2</v>
      </c>
      <c r="BP42" s="13">
        <v>2</v>
      </c>
      <c r="BQ42" s="13">
        <v>1</v>
      </c>
      <c r="BR42" s="13">
        <v>1</v>
      </c>
      <c r="BS42" s="13">
        <v>3</v>
      </c>
      <c r="BT42" s="13">
        <v>3</v>
      </c>
      <c r="BU42" s="13">
        <v>1</v>
      </c>
      <c r="BV42" s="13">
        <v>0</v>
      </c>
      <c r="BW42" s="13">
        <v>1</v>
      </c>
      <c r="BX42" s="13">
        <v>0</v>
      </c>
      <c r="BY42" s="13">
        <v>3</v>
      </c>
      <c r="BZ42" s="13">
        <v>2</v>
      </c>
      <c r="CA42" s="13">
        <v>0</v>
      </c>
      <c r="CB42" s="13">
        <v>1</v>
      </c>
      <c r="CC42" s="13">
        <v>1</v>
      </c>
      <c r="CD42" s="13">
        <v>1</v>
      </c>
      <c r="CE42" s="13">
        <v>3</v>
      </c>
      <c r="CF42" s="13">
        <v>3</v>
      </c>
      <c r="CG42" s="13">
        <v>0</v>
      </c>
      <c r="CH42" s="2" t="s">
        <v>28</v>
      </c>
      <c r="CI42" s="2"/>
      <c r="CJ42" s="2"/>
      <c r="CK42" s="2"/>
      <c r="CL42" s="11">
        <v>0</v>
      </c>
      <c r="CM42" s="11">
        <v>3</v>
      </c>
      <c r="CN42" s="11">
        <v>1</v>
      </c>
      <c r="CO42" s="11">
        <v>0</v>
      </c>
      <c r="CP42" s="11">
        <v>2</v>
      </c>
      <c r="CQ42" s="11">
        <v>1</v>
      </c>
      <c r="CR42" s="11">
        <v>0</v>
      </c>
      <c r="CS42" s="11">
        <v>0</v>
      </c>
    </row>
    <row r="43" spans="3:105" x14ac:dyDescent="0.5">
      <c r="C43" s="49">
        <v>0</v>
      </c>
      <c r="D43" s="13">
        <v>1</v>
      </c>
      <c r="E43" s="13">
        <v>1</v>
      </c>
      <c r="F43" s="13">
        <v>2</v>
      </c>
      <c r="G43" s="13">
        <v>3</v>
      </c>
      <c r="H43" s="13">
        <v>1</v>
      </c>
      <c r="I43" s="13">
        <v>1</v>
      </c>
      <c r="J43" s="13">
        <v>3</v>
      </c>
      <c r="K43" s="13">
        <v>0</v>
      </c>
      <c r="L43" s="13">
        <v>1</v>
      </c>
      <c r="M43" s="13">
        <v>1</v>
      </c>
      <c r="N43" s="13">
        <v>0</v>
      </c>
      <c r="O43" s="13">
        <v>1</v>
      </c>
      <c r="P43" s="13">
        <v>1</v>
      </c>
      <c r="Q43" s="13">
        <v>0</v>
      </c>
      <c r="R43" s="50">
        <v>1</v>
      </c>
      <c r="S43" s="2" t="s">
        <v>28</v>
      </c>
      <c r="Z43" s="73">
        <v>1</v>
      </c>
      <c r="AA43" s="11">
        <v>0</v>
      </c>
      <c r="AB43" s="11">
        <v>1</v>
      </c>
      <c r="AC43" s="11">
        <v>1</v>
      </c>
      <c r="AD43" s="11">
        <v>1</v>
      </c>
      <c r="AE43" s="74">
        <v>3</v>
      </c>
      <c r="BJ43" s="13">
        <v>0</v>
      </c>
      <c r="BK43" s="13">
        <v>1</v>
      </c>
      <c r="BL43" s="13">
        <v>1</v>
      </c>
      <c r="BM43" s="13">
        <v>2</v>
      </c>
      <c r="BN43" s="13">
        <v>3</v>
      </c>
      <c r="BO43" s="13">
        <v>1</v>
      </c>
      <c r="BP43" s="13">
        <v>1</v>
      </c>
      <c r="BQ43" s="13">
        <v>3</v>
      </c>
      <c r="BR43" s="13">
        <v>0</v>
      </c>
      <c r="BS43" s="13">
        <v>1</v>
      </c>
      <c r="BT43" s="13">
        <v>0</v>
      </c>
      <c r="BU43" s="13">
        <v>0</v>
      </c>
      <c r="BV43" s="13">
        <v>3</v>
      </c>
      <c r="BW43" s="13">
        <v>1</v>
      </c>
      <c r="BX43" s="13">
        <v>3</v>
      </c>
      <c r="BY43" s="13">
        <v>2</v>
      </c>
      <c r="BZ43" s="13">
        <v>1</v>
      </c>
      <c r="CA43" s="13">
        <v>3</v>
      </c>
      <c r="CB43" s="13">
        <v>1</v>
      </c>
      <c r="CC43" s="13">
        <v>0</v>
      </c>
      <c r="CD43" s="13">
        <v>3</v>
      </c>
      <c r="CE43" s="13">
        <v>2</v>
      </c>
      <c r="CF43" s="13">
        <v>3</v>
      </c>
      <c r="CG43" s="13">
        <v>0</v>
      </c>
      <c r="CH43" s="2" t="s">
        <v>28</v>
      </c>
      <c r="CI43" s="2"/>
      <c r="CJ43" s="2"/>
      <c r="CK43" s="2"/>
      <c r="CL43" s="11">
        <v>0</v>
      </c>
      <c r="CM43" s="11">
        <v>2</v>
      </c>
      <c r="CN43" s="11">
        <v>0</v>
      </c>
      <c r="CO43" s="11">
        <v>1</v>
      </c>
      <c r="CP43" s="11">
        <v>1</v>
      </c>
      <c r="CQ43" s="11">
        <v>1</v>
      </c>
      <c r="CR43" s="11">
        <v>0</v>
      </c>
      <c r="CS43" s="11">
        <v>0</v>
      </c>
    </row>
    <row r="44" spans="3:105" x14ac:dyDescent="0.5">
      <c r="C44" s="49">
        <v>1</v>
      </c>
      <c r="D44" s="13">
        <v>1</v>
      </c>
      <c r="E44" s="13">
        <v>3</v>
      </c>
      <c r="F44" s="13">
        <v>3</v>
      </c>
      <c r="G44" s="13">
        <v>3</v>
      </c>
      <c r="H44" s="13">
        <v>3</v>
      </c>
      <c r="I44" s="13">
        <v>2</v>
      </c>
      <c r="J44" s="13">
        <v>1</v>
      </c>
      <c r="K44" s="13">
        <v>3</v>
      </c>
      <c r="L44" s="13">
        <v>2</v>
      </c>
      <c r="M44" s="13">
        <v>1</v>
      </c>
      <c r="N44" s="13">
        <v>1</v>
      </c>
      <c r="O44" s="13">
        <v>0</v>
      </c>
      <c r="P44" s="13">
        <v>1</v>
      </c>
      <c r="Q44" s="13">
        <v>1</v>
      </c>
      <c r="R44" s="50">
        <v>0</v>
      </c>
      <c r="S44" s="2" t="s">
        <v>28</v>
      </c>
      <c r="Z44" s="73">
        <v>3</v>
      </c>
      <c r="AA44" s="11">
        <v>1</v>
      </c>
      <c r="AB44" s="11">
        <v>2</v>
      </c>
      <c r="AC44" s="11">
        <v>3</v>
      </c>
      <c r="AD44" s="11">
        <v>1</v>
      </c>
      <c r="AE44" s="74">
        <v>1</v>
      </c>
      <c r="BJ44" s="13">
        <v>1</v>
      </c>
      <c r="BK44" s="13">
        <v>1</v>
      </c>
      <c r="BL44" s="13">
        <v>3</v>
      </c>
      <c r="BM44" s="13">
        <v>3</v>
      </c>
      <c r="BN44" s="13">
        <v>3</v>
      </c>
      <c r="BO44" s="13">
        <v>3</v>
      </c>
      <c r="BP44" s="13">
        <v>2</v>
      </c>
      <c r="BQ44" s="13">
        <v>1</v>
      </c>
      <c r="BR44" s="13">
        <v>3</v>
      </c>
      <c r="BS44" s="13">
        <v>2</v>
      </c>
      <c r="BT44" s="13">
        <v>0</v>
      </c>
      <c r="BU44" s="13">
        <v>2</v>
      </c>
      <c r="BV44" s="13">
        <v>2</v>
      </c>
      <c r="BW44" s="13">
        <v>3</v>
      </c>
      <c r="BX44" s="13">
        <v>2</v>
      </c>
      <c r="BY44" s="13">
        <v>3</v>
      </c>
      <c r="BZ44" s="13">
        <v>1</v>
      </c>
      <c r="CA44" s="13">
        <v>2</v>
      </c>
      <c r="CB44" s="13">
        <v>3</v>
      </c>
      <c r="CC44" s="13">
        <v>1</v>
      </c>
      <c r="CD44" s="13">
        <v>2</v>
      </c>
      <c r="CE44" s="13">
        <v>3</v>
      </c>
      <c r="CF44" s="13">
        <v>2</v>
      </c>
      <c r="CG44" s="13">
        <v>2</v>
      </c>
      <c r="CH44" s="2" t="s">
        <v>28</v>
      </c>
      <c r="CI44" s="2"/>
      <c r="CJ44" s="2"/>
      <c r="CK44" s="2"/>
      <c r="CL44" s="11">
        <v>1</v>
      </c>
      <c r="CM44" s="11">
        <v>3</v>
      </c>
      <c r="CN44" s="11">
        <v>3</v>
      </c>
      <c r="CO44" s="11">
        <v>3</v>
      </c>
      <c r="CP44" s="11">
        <v>2</v>
      </c>
      <c r="CQ44" s="11">
        <v>3</v>
      </c>
      <c r="CR44" s="11">
        <v>0</v>
      </c>
      <c r="CS44" s="11">
        <v>0</v>
      </c>
    </row>
    <row r="45" spans="3:105" x14ac:dyDescent="0.5">
      <c r="C45" s="51">
        <v>3</v>
      </c>
      <c r="D45" s="52">
        <v>1</v>
      </c>
      <c r="E45" s="52">
        <v>0</v>
      </c>
      <c r="F45" s="52">
        <v>3</v>
      </c>
      <c r="G45" s="52">
        <v>0</v>
      </c>
      <c r="H45" s="52">
        <v>2</v>
      </c>
      <c r="I45" s="52">
        <v>3</v>
      </c>
      <c r="J45" s="52">
        <v>2</v>
      </c>
      <c r="K45" s="52">
        <v>2</v>
      </c>
      <c r="L45" s="52">
        <v>2</v>
      </c>
      <c r="M45" s="52">
        <v>0</v>
      </c>
      <c r="N45" s="52">
        <v>0</v>
      </c>
      <c r="O45" s="52">
        <v>0</v>
      </c>
      <c r="P45" s="52">
        <v>1</v>
      </c>
      <c r="Q45" s="52">
        <v>0</v>
      </c>
      <c r="R45" s="53">
        <v>0</v>
      </c>
      <c r="S45" s="2" t="s">
        <v>28</v>
      </c>
      <c r="Z45" s="75">
        <v>2</v>
      </c>
      <c r="AA45" s="76">
        <v>3</v>
      </c>
      <c r="AB45" s="76">
        <v>2</v>
      </c>
      <c r="AC45" s="76">
        <v>2</v>
      </c>
      <c r="AD45" s="76">
        <v>1</v>
      </c>
      <c r="AE45" s="77">
        <v>2</v>
      </c>
      <c r="BJ45" s="13">
        <v>3</v>
      </c>
      <c r="BK45" s="13">
        <v>1</v>
      </c>
      <c r="BL45" s="13">
        <v>0</v>
      </c>
      <c r="BM45" s="13">
        <v>3</v>
      </c>
      <c r="BN45" s="13">
        <v>0</v>
      </c>
      <c r="BO45" s="13">
        <v>2</v>
      </c>
      <c r="BP45" s="13">
        <v>3</v>
      </c>
      <c r="BQ45" s="13">
        <v>2</v>
      </c>
      <c r="BR45" s="13">
        <v>2</v>
      </c>
      <c r="BS45" s="13">
        <v>2</v>
      </c>
      <c r="BT45" s="13">
        <v>3</v>
      </c>
      <c r="BU45" s="13">
        <v>2</v>
      </c>
      <c r="BV45" s="13">
        <v>1</v>
      </c>
      <c r="BW45" s="13">
        <v>3</v>
      </c>
      <c r="BX45" s="13">
        <v>2</v>
      </c>
      <c r="BY45" s="13">
        <v>3</v>
      </c>
      <c r="BZ45" s="13">
        <v>2</v>
      </c>
      <c r="CA45" s="13">
        <v>3</v>
      </c>
      <c r="CB45" s="13">
        <v>1</v>
      </c>
      <c r="CC45" s="13">
        <v>2</v>
      </c>
      <c r="CD45" s="13">
        <v>1</v>
      </c>
      <c r="CE45" s="13">
        <v>0</v>
      </c>
      <c r="CF45" s="13">
        <v>1</v>
      </c>
      <c r="CG45" s="13">
        <v>2</v>
      </c>
      <c r="CH45" s="2" t="s">
        <v>28</v>
      </c>
      <c r="CI45" s="2"/>
      <c r="CJ45" s="2"/>
      <c r="CK45" s="2"/>
      <c r="CL45" s="11">
        <v>3</v>
      </c>
      <c r="CM45" s="11">
        <v>0</v>
      </c>
      <c r="CN45" s="11">
        <v>2</v>
      </c>
      <c r="CO45" s="11">
        <v>0</v>
      </c>
      <c r="CP45" s="11">
        <v>3</v>
      </c>
      <c r="CQ45" s="11">
        <v>1</v>
      </c>
      <c r="CR45" s="11">
        <v>0</v>
      </c>
      <c r="CS45" s="11">
        <v>0</v>
      </c>
      <c r="DA45" s="4"/>
    </row>
    <row r="46" spans="3:105" x14ac:dyDescent="0.5">
      <c r="BJ46" s="14">
        <v>1</v>
      </c>
      <c r="BK46" s="14">
        <v>3</v>
      </c>
      <c r="BL46" s="14">
        <v>2</v>
      </c>
      <c r="BM46" s="14">
        <v>1</v>
      </c>
      <c r="BN46" s="14">
        <v>1</v>
      </c>
      <c r="BO46" s="14">
        <v>2</v>
      </c>
      <c r="BP46" s="14">
        <v>1</v>
      </c>
      <c r="BQ46" s="14">
        <v>2</v>
      </c>
      <c r="BR46" s="14">
        <v>1</v>
      </c>
      <c r="BS46" s="14">
        <v>1</v>
      </c>
      <c r="BT46" s="14">
        <v>1</v>
      </c>
      <c r="BU46" s="14">
        <v>2</v>
      </c>
      <c r="BV46" s="14">
        <v>2</v>
      </c>
      <c r="BW46" s="14">
        <v>3</v>
      </c>
      <c r="BX46" s="14">
        <v>3</v>
      </c>
      <c r="BY46" s="14">
        <v>1</v>
      </c>
      <c r="BZ46" s="14">
        <v>3</v>
      </c>
      <c r="CA46" s="14">
        <v>1</v>
      </c>
      <c r="CB46" s="14">
        <v>2</v>
      </c>
      <c r="CC46" s="14">
        <v>0</v>
      </c>
      <c r="CD46" s="14">
        <v>3</v>
      </c>
      <c r="CE46" s="14">
        <v>1</v>
      </c>
      <c r="CF46" s="14">
        <v>2</v>
      </c>
      <c r="CG46" s="14">
        <v>1</v>
      </c>
      <c r="CH46" s="2" t="s">
        <v>28</v>
      </c>
      <c r="CI46" s="2"/>
      <c r="CJ46" s="2"/>
      <c r="CK46" s="2"/>
      <c r="CL46" s="12">
        <v>1</v>
      </c>
      <c r="CM46" s="12">
        <v>1</v>
      </c>
      <c r="CN46" s="12">
        <v>1</v>
      </c>
      <c r="CO46" s="12">
        <v>2</v>
      </c>
      <c r="CP46" s="12">
        <v>1</v>
      </c>
      <c r="CQ46" s="12">
        <v>2</v>
      </c>
      <c r="CR46" s="12">
        <v>0</v>
      </c>
      <c r="CS46" s="12">
        <v>0</v>
      </c>
    </row>
    <row r="47" spans="3:105" x14ac:dyDescent="0.5"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H47" s="2"/>
      <c r="CI47" s="2"/>
      <c r="CJ47" s="2"/>
    </row>
    <row r="48" spans="3:105" x14ac:dyDescent="0.5">
      <c r="H48" s="4" t="s">
        <v>47</v>
      </c>
      <c r="N48" s="2" t="s">
        <v>3</v>
      </c>
      <c r="O48" s="2">
        <v>0</v>
      </c>
      <c r="P48" s="2">
        <v>1</v>
      </c>
      <c r="Q48" s="2">
        <v>2</v>
      </c>
      <c r="R48" s="2">
        <v>3</v>
      </c>
      <c r="S48" s="2">
        <v>4</v>
      </c>
      <c r="T48" s="2">
        <v>5</v>
      </c>
      <c r="U48" s="2"/>
      <c r="V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DA48" s="89"/>
    </row>
    <row r="49" spans="8:112" x14ac:dyDescent="0.5">
      <c r="H49" s="4" t="s">
        <v>48</v>
      </c>
      <c r="M49" s="79" t="s">
        <v>29</v>
      </c>
      <c r="BK49" s="2"/>
      <c r="BL49" s="2"/>
      <c r="BM49" s="2"/>
      <c r="BN49" s="2"/>
      <c r="BO49" s="2"/>
      <c r="BP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</row>
    <row r="50" spans="8:112" x14ac:dyDescent="0.5">
      <c r="M50" s="2">
        <v>0</v>
      </c>
      <c r="O50" cm="1">
        <f t="array" ref="O50:T54">PE(5,6,100)</f>
        <v>0.92179644607836841</v>
      </c>
      <c r="P50">
        <v>0.98746683572927096</v>
      </c>
      <c r="Q50">
        <v>0.99801012443176929</v>
      </c>
      <c r="R50">
        <v>0.99968453791520984</v>
      </c>
      <c r="S50">
        <v>0.99995000041666526</v>
      </c>
      <c r="T50">
        <v>0.99999207554450387</v>
      </c>
      <c r="U50"/>
      <c r="Z50" s="70" cm="1">
        <f t="array" ref="Z50:AE54">O50:T54+_xlfn.ANCHORARRAY(Z41)</f>
        <v>3.9217964460783685</v>
      </c>
      <c r="AA50" s="71">
        <v>3.9874668357292711</v>
      </c>
      <c r="AB50" s="71">
        <v>0.99801012443176929</v>
      </c>
      <c r="AC50" s="71">
        <v>3.9996845379152099</v>
      </c>
      <c r="AD50" s="71">
        <v>0.99995000041666526</v>
      </c>
      <c r="AE50" s="72">
        <v>2.9999920755445038</v>
      </c>
      <c r="BK50" s="2"/>
      <c r="BL50" s="2"/>
      <c r="BM50" s="2"/>
      <c r="BN50" s="2"/>
      <c r="BO50" s="2"/>
      <c r="BS50" s="4" t="s">
        <v>47</v>
      </c>
      <c r="BV50" s="2"/>
      <c r="BW50" s="2"/>
      <c r="BX50" s="2"/>
      <c r="BY50" s="2" t="s">
        <v>3</v>
      </c>
      <c r="BZ50" s="2">
        <v>0</v>
      </c>
      <c r="CA50" s="2">
        <v>1</v>
      </c>
      <c r="CB50" s="2">
        <v>2</v>
      </c>
      <c r="CC50" s="2">
        <v>3</v>
      </c>
      <c r="CD50" s="2">
        <v>4</v>
      </c>
      <c r="CE50" s="2">
        <v>5</v>
      </c>
      <c r="CF50" s="2">
        <v>6</v>
      </c>
      <c r="CG50" s="2">
        <v>7</v>
      </c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</row>
    <row r="51" spans="8:112" x14ac:dyDescent="0.5">
      <c r="M51" s="2">
        <v>1</v>
      </c>
      <c r="O51">
        <v>0.71471346296378946</v>
      </c>
      <c r="P51">
        <v>0.31169714584651093</v>
      </c>
      <c r="Q51">
        <v>0.12585681727075312</v>
      </c>
      <c r="R51">
        <v>5.0216599387465179E-2</v>
      </c>
      <c r="S51">
        <v>1.999866669333308E-2</v>
      </c>
      <c r="T51">
        <v>7.9620592836906791E-3</v>
      </c>
      <c r="U51"/>
      <c r="Z51" s="73">
        <v>2.7147134629637897</v>
      </c>
      <c r="AA51" s="11">
        <v>0.31169714584651093</v>
      </c>
      <c r="AB51" s="11">
        <v>3.125856817270753</v>
      </c>
      <c r="AC51" s="11">
        <v>2.0502165993874653</v>
      </c>
      <c r="AD51" s="11">
        <v>3.0199986666933332</v>
      </c>
      <c r="AE51" s="74">
        <v>1.0079620592836906</v>
      </c>
      <c r="BS51" s="4" t="s">
        <v>48</v>
      </c>
      <c r="BV51" s="2"/>
      <c r="BW51" s="2"/>
      <c r="BX51" s="79" t="s">
        <v>29</v>
      </c>
      <c r="BY51" s="2"/>
      <c r="BZ51" s="2"/>
      <c r="CA51" s="2"/>
      <c r="CB51" s="2"/>
      <c r="CC51" s="2"/>
      <c r="CD51" s="2"/>
      <c r="CE51" s="2"/>
      <c r="CF51" s="2"/>
      <c r="CG51" s="2"/>
    </row>
    <row r="52" spans="8:112" x14ac:dyDescent="0.5">
      <c r="M52" s="2">
        <v>2</v>
      </c>
      <c r="O52">
        <v>0.36764445697614095</v>
      </c>
      <c r="P52">
        <v>0.88907860919494952</v>
      </c>
      <c r="Q52">
        <v>0.98213860362676497</v>
      </c>
      <c r="R52">
        <v>0.99716203530723702</v>
      </c>
      <c r="S52">
        <v>0.99955003374898754</v>
      </c>
      <c r="T52">
        <v>0.9999286806540969</v>
      </c>
      <c r="U52"/>
      <c r="Z52" s="73">
        <v>1.367644456976141</v>
      </c>
      <c r="AA52" s="11">
        <v>0.88907860919494952</v>
      </c>
      <c r="AB52" s="11">
        <v>1.982138603626765</v>
      </c>
      <c r="AC52" s="11">
        <v>1.997162035307237</v>
      </c>
      <c r="AD52" s="11">
        <v>1.9995500337489875</v>
      </c>
      <c r="AE52" s="74">
        <v>3.9999286806540968</v>
      </c>
      <c r="BV52" s="2"/>
      <c r="BW52" s="2"/>
      <c r="BX52" s="2">
        <v>0</v>
      </c>
      <c r="BY52" s="2"/>
      <c r="BZ52" cm="1">
        <f t="array" ref="BZ52:CG57">PE(6,8,10)</f>
        <v>0.77675962591042425</v>
      </c>
      <c r="CA52">
        <v>0.89419842526255444</v>
      </c>
      <c r="CB52">
        <v>0.95041528025518285</v>
      </c>
      <c r="CC52">
        <v>0.97688168517019125</v>
      </c>
      <c r="CD52">
        <v>0.98924715261976714</v>
      </c>
      <c r="CE52">
        <v>0.99500416527802582</v>
      </c>
      <c r="CF52">
        <v>0.99768010312543709</v>
      </c>
      <c r="CG52">
        <v>0.99892297604063041</v>
      </c>
      <c r="CH52" s="2"/>
      <c r="CI52" s="2"/>
      <c r="CL52" s="10" cm="1">
        <f t="array" ref="CL52:CS57">$BZ52:$CG57+_xlfn.ANCHORARRAY(CL41)</f>
        <v>3.7767596259104241</v>
      </c>
      <c r="CM52" s="10">
        <v>0.89419842526255444</v>
      </c>
      <c r="CN52" s="10">
        <v>3.9504152802551831</v>
      </c>
      <c r="CO52" s="10">
        <v>2.9768816851701914</v>
      </c>
      <c r="CP52" s="10">
        <v>2.9892471526197673</v>
      </c>
      <c r="CQ52" s="10">
        <v>0.99500416527802582</v>
      </c>
      <c r="CR52" s="10">
        <v>0.99768010312543709</v>
      </c>
      <c r="CS52" s="10">
        <v>0.99892297604063041</v>
      </c>
    </row>
    <row r="53" spans="8:112" x14ac:dyDescent="0.5">
      <c r="M53" s="2">
        <v>3</v>
      </c>
      <c r="O53">
        <v>0.99976602972376205</v>
      </c>
      <c r="P53">
        <v>0.59233772524843908</v>
      </c>
      <c r="Q53">
        <v>0.24971211266826704</v>
      </c>
      <c r="R53">
        <v>0.10030648729934569</v>
      </c>
      <c r="S53">
        <v>3.9989334186634161E-2</v>
      </c>
      <c r="T53">
        <v>1.5923613809505723E-2</v>
      </c>
      <c r="U53"/>
      <c r="Z53" s="73">
        <v>3.9997660297237623</v>
      </c>
      <c r="AA53" s="11">
        <v>1.5923377252484392</v>
      </c>
      <c r="AB53" s="11">
        <v>2.2497121126682669</v>
      </c>
      <c r="AC53" s="11">
        <v>3.1003064872993455</v>
      </c>
      <c r="AD53" s="11">
        <v>1.0399893341866342</v>
      </c>
      <c r="AE53" s="74">
        <v>1.0159236138095058</v>
      </c>
      <c r="BV53" s="2"/>
      <c r="BW53" s="2"/>
      <c r="BX53" s="2">
        <v>1</v>
      </c>
      <c r="BY53" s="2"/>
      <c r="BZ53">
        <v>0.97840203846985152</v>
      </c>
      <c r="CA53">
        <v>0.80061311088332954</v>
      </c>
      <c r="CB53">
        <v>0.59112711721529321</v>
      </c>
      <c r="CC53">
        <v>0.41767683462581268</v>
      </c>
      <c r="CD53">
        <v>0.28936161386650527</v>
      </c>
      <c r="CE53">
        <v>0.19866933079506122</v>
      </c>
      <c r="CF53">
        <v>0.13583716803039253</v>
      </c>
      <c r="CG53">
        <v>9.2698500778727211E-2</v>
      </c>
      <c r="CH53" s="2"/>
      <c r="CL53" s="11">
        <v>0.97840203846985152</v>
      </c>
      <c r="CM53" s="11">
        <v>3.8006131108833294</v>
      </c>
      <c r="CN53" s="11">
        <v>1.5911271172152932</v>
      </c>
      <c r="CO53" s="11">
        <v>0.41767683462581268</v>
      </c>
      <c r="CP53" s="11">
        <v>2.2893616138665052</v>
      </c>
      <c r="CQ53" s="11">
        <v>1.1986693307950613</v>
      </c>
      <c r="CR53" s="11">
        <v>0.13583716803039253</v>
      </c>
      <c r="CS53" s="11">
        <v>9.2698500778727211E-2</v>
      </c>
    </row>
    <row r="54" spans="8:112" x14ac:dyDescent="0.5">
      <c r="M54" s="2">
        <v>4</v>
      </c>
      <c r="O54">
        <v>-0.40752260327598788</v>
      </c>
      <c r="P54">
        <v>0.70210526319817079</v>
      </c>
      <c r="Q54">
        <v>0.95064796944880237</v>
      </c>
      <c r="R54">
        <v>0.99212339511862357</v>
      </c>
      <c r="S54">
        <v>0.99875026039496628</v>
      </c>
      <c r="T54">
        <v>0.99980189489222693</v>
      </c>
      <c r="U54"/>
      <c r="Z54" s="75">
        <v>1.592477396724012</v>
      </c>
      <c r="AA54" s="76">
        <v>3.7021052631981708</v>
      </c>
      <c r="AB54" s="76">
        <v>2.9506479694488021</v>
      </c>
      <c r="AC54" s="76">
        <v>2.9921233951186235</v>
      </c>
      <c r="AD54" s="76">
        <v>1.9987502603949663</v>
      </c>
      <c r="AE54" s="77">
        <v>2.9998018948922267</v>
      </c>
      <c r="BV54" s="2"/>
      <c r="BW54" s="2"/>
      <c r="BX54" s="2">
        <v>2</v>
      </c>
      <c r="BY54" s="2"/>
      <c r="BZ54">
        <v>-0.4556300567535832</v>
      </c>
      <c r="CA54">
        <v>0.17737614599039198</v>
      </c>
      <c r="CB54">
        <v>0.58275361070222487</v>
      </c>
      <c r="CC54">
        <v>0.79829922136584097</v>
      </c>
      <c r="CD54">
        <v>0.90460688516214471</v>
      </c>
      <c r="CE54">
        <v>0.95533648912560598</v>
      </c>
      <c r="CF54">
        <v>0.97918546124502548</v>
      </c>
      <c r="CG54">
        <v>0.990320699135675</v>
      </c>
      <c r="CH54" s="2"/>
      <c r="CL54" s="11">
        <v>-0.4556300567535832</v>
      </c>
      <c r="CM54" s="11">
        <v>2.177376145990392</v>
      </c>
      <c r="CN54" s="11">
        <v>0.58275361070222487</v>
      </c>
      <c r="CO54" s="11">
        <v>1.7982992213658409</v>
      </c>
      <c r="CP54" s="11">
        <v>1.9046068851621447</v>
      </c>
      <c r="CQ54" s="11">
        <v>1.955336489125606</v>
      </c>
      <c r="CR54" s="11">
        <v>0.97918546124502548</v>
      </c>
      <c r="CS54" s="11">
        <v>0.990320699135675</v>
      </c>
    </row>
    <row r="55" spans="8:112" x14ac:dyDescent="0.5">
      <c r="M55" s="2"/>
      <c r="O55"/>
      <c r="P55"/>
      <c r="Q55"/>
      <c r="R55"/>
      <c r="S55"/>
      <c r="T55"/>
      <c r="U55"/>
      <c r="Z55" s="2" t="s">
        <v>27</v>
      </c>
      <c r="AA55" s="2" t="s">
        <v>27</v>
      </c>
      <c r="AB55" s="2" t="s">
        <v>27</v>
      </c>
      <c r="AC55" s="2" t="s">
        <v>27</v>
      </c>
      <c r="AD55" s="2" t="s">
        <v>27</v>
      </c>
      <c r="AE55" s="2" t="s">
        <v>27</v>
      </c>
      <c r="BV55" s="2"/>
      <c r="BW55" s="2"/>
      <c r="BX55" s="2">
        <v>3</v>
      </c>
      <c r="BY55" s="2"/>
      <c r="BZ55">
        <v>0.40449299190562121</v>
      </c>
      <c r="CA55">
        <v>0.95942536555283042</v>
      </c>
      <c r="CB55">
        <v>0.95358074048691976</v>
      </c>
      <c r="CC55">
        <v>0.75899871313584466</v>
      </c>
      <c r="CD55">
        <v>0.55396536583290756</v>
      </c>
      <c r="CE55">
        <v>0.38941834230865052</v>
      </c>
      <c r="CF55">
        <v>0.26915623454818477</v>
      </c>
      <c r="CG55">
        <v>0.18459872362061738</v>
      </c>
      <c r="CH55" s="2"/>
      <c r="CL55" s="11">
        <v>1.4044929919056213</v>
      </c>
      <c r="CM55" s="11">
        <v>3.9594253655528302</v>
      </c>
      <c r="CN55" s="11">
        <v>3.9535807404869199</v>
      </c>
      <c r="CO55" s="11">
        <v>3.7589987131358447</v>
      </c>
      <c r="CP55" s="11">
        <v>2.5539653658329078</v>
      </c>
      <c r="CQ55" s="11">
        <v>3.3894183423086504</v>
      </c>
      <c r="CR55" s="11">
        <v>0.26915623454818477</v>
      </c>
      <c r="CS55" s="11">
        <v>0.18459872362061738</v>
      </c>
    </row>
    <row r="56" spans="8:112" x14ac:dyDescent="0.5">
      <c r="BV56" s="2"/>
      <c r="BW56" s="2"/>
      <c r="BX56" s="2">
        <v>4</v>
      </c>
      <c r="BY56" s="2"/>
      <c r="BZ56">
        <v>-0.96512714520404219</v>
      </c>
      <c r="CA56">
        <v>-0.68163736250476026</v>
      </c>
      <c r="CB56">
        <v>-1.0342318905209005E-2</v>
      </c>
      <c r="CC56">
        <v>0.47378072050724973</v>
      </c>
      <c r="CD56">
        <v>0.74256819557981391</v>
      </c>
      <c r="CE56">
        <v>0.87758256189037276</v>
      </c>
      <c r="CF56">
        <v>0.94253902463251471</v>
      </c>
      <c r="CG56">
        <v>0.97319022427852064</v>
      </c>
      <c r="CH56" s="2"/>
      <c r="CI56" s="2"/>
      <c r="CJ56" s="2"/>
      <c r="CK56" s="2"/>
      <c r="CL56" s="11">
        <v>2.0348728547959576</v>
      </c>
      <c r="CM56" s="11">
        <v>-0.68163736250476026</v>
      </c>
      <c r="CN56" s="11">
        <v>1.989657681094791</v>
      </c>
      <c r="CO56" s="11">
        <v>0.47378072050724973</v>
      </c>
      <c r="CP56" s="11">
        <v>3.742568195579814</v>
      </c>
      <c r="CQ56" s="11">
        <v>1.8775825618903728</v>
      </c>
      <c r="CR56" s="11">
        <v>0.94253902463251471</v>
      </c>
      <c r="CS56" s="11">
        <v>0.97319022427852064</v>
      </c>
    </row>
    <row r="57" spans="8:112" x14ac:dyDescent="0.5">
      <c r="BV57" s="2"/>
      <c r="BW57" s="2"/>
      <c r="BX57" s="2">
        <v>5</v>
      </c>
      <c r="BY57" s="2"/>
      <c r="BZ57">
        <v>-0.81117571016350221</v>
      </c>
      <c r="CA57">
        <v>0.34912703145656127</v>
      </c>
      <c r="CB57">
        <v>0.94714815750265213</v>
      </c>
      <c r="CC57">
        <v>0.96156902912424314</v>
      </c>
      <c r="CD57">
        <v>0.77117168369784528</v>
      </c>
      <c r="CE57">
        <v>0.56464247339503537</v>
      </c>
      <c r="CF57">
        <v>0.39748577771850885</v>
      </c>
      <c r="CG57">
        <v>0.27490926500059942</v>
      </c>
      <c r="CH57" s="2"/>
      <c r="CI57" s="2"/>
      <c r="CJ57" s="2"/>
      <c r="CK57" s="2"/>
      <c r="CL57" s="12">
        <v>0.18882428983649779</v>
      </c>
      <c r="CM57" s="12">
        <v>1.3491270314565613</v>
      </c>
      <c r="CN57" s="12">
        <v>1.9471481575026521</v>
      </c>
      <c r="CO57" s="12">
        <v>2.9615690291242434</v>
      </c>
      <c r="CP57" s="12">
        <v>1.7711716836978453</v>
      </c>
      <c r="CQ57" s="12">
        <v>2.5646424733950353</v>
      </c>
      <c r="CR57" s="12">
        <v>0.39748577771850885</v>
      </c>
      <c r="CS57" s="12">
        <v>0.27490926500059942</v>
      </c>
    </row>
    <row r="58" spans="8:112" x14ac:dyDescent="0.5">
      <c r="BK58" s="2"/>
      <c r="BL58" s="2"/>
      <c r="BM58" s="2"/>
      <c r="BN58" s="2"/>
      <c r="BO58" s="2"/>
      <c r="BP58" s="2"/>
      <c r="BQ58" s="2"/>
      <c r="CG58" s="2"/>
      <c r="CH58" s="2"/>
      <c r="CI58" s="2"/>
      <c r="CJ58" s="2"/>
      <c r="CK58" s="2"/>
      <c r="CL58" s="2" t="s">
        <v>27</v>
      </c>
      <c r="CM58" s="2" t="s">
        <v>27</v>
      </c>
      <c r="CN58" s="2" t="s">
        <v>27</v>
      </c>
      <c r="CO58" s="2" t="s">
        <v>27</v>
      </c>
      <c r="CP58" s="2" t="s">
        <v>27</v>
      </c>
      <c r="CQ58" s="2" t="s">
        <v>27</v>
      </c>
      <c r="CR58" s="2" t="s">
        <v>27</v>
      </c>
      <c r="CS58" s="2" t="s">
        <v>27</v>
      </c>
    </row>
    <row r="59" spans="8:112" x14ac:dyDescent="0.5">
      <c r="BK59" s="2"/>
      <c r="BL59" s="2"/>
      <c r="BM59" s="2"/>
      <c r="BN59" s="2"/>
      <c r="BO59" s="2"/>
      <c r="BP59" s="2"/>
      <c r="BQ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</row>
    <row r="60" spans="8:112" x14ac:dyDescent="0.5">
      <c r="BK60" s="2"/>
      <c r="BL60" s="2"/>
      <c r="BM60" s="2"/>
      <c r="BN60" s="2"/>
      <c r="BO60" s="2"/>
      <c r="BP60" s="2"/>
      <c r="BQ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</row>
    <row r="61" spans="8:112" x14ac:dyDescent="0.5">
      <c r="BK61" s="2"/>
      <c r="BL61" s="2"/>
      <c r="BM61" s="2"/>
      <c r="BN61" s="2"/>
      <c r="CE61" s="2"/>
      <c r="CF61" s="2"/>
    </row>
    <row r="62" spans="8:112" x14ac:dyDescent="0.5">
      <c r="BK62" s="2"/>
      <c r="BL62" s="2"/>
      <c r="BM62" s="2"/>
      <c r="BN62" s="2"/>
      <c r="CE62" s="2"/>
      <c r="CF62" s="2"/>
      <c r="CV62" s="89" t="s">
        <v>53</v>
      </c>
      <c r="CZ62" s="90" t="s">
        <v>3</v>
      </c>
      <c r="DA62" s="2">
        <v>0</v>
      </c>
      <c r="DB62" s="2">
        <v>1</v>
      </c>
      <c r="DC62" s="2">
        <v>2</v>
      </c>
      <c r="DD62" s="2">
        <v>3</v>
      </c>
      <c r="DE62" s="2">
        <v>4</v>
      </c>
      <c r="DF62" s="2">
        <v>5</v>
      </c>
      <c r="DG62" s="2">
        <v>6</v>
      </c>
      <c r="DH62" s="2">
        <v>7</v>
      </c>
    </row>
    <row r="63" spans="8:112" x14ac:dyDescent="0.5">
      <c r="BK63" s="2"/>
      <c r="BL63" s="2"/>
      <c r="BM63" s="2"/>
      <c r="BN63" s="2"/>
      <c r="CE63" s="2"/>
      <c r="CF63" s="2"/>
      <c r="CG63" s="2"/>
      <c r="CH63" s="2"/>
      <c r="CI63" s="2"/>
      <c r="CJ63" s="2"/>
      <c r="CK63" s="2"/>
      <c r="CZ63" s="2">
        <v>0</v>
      </c>
      <c r="DA63" s="81" cm="1">
        <f t="array" ref="DA63:DH70">_xlfn.LAMBDA(_xlpm.L,_xlpm.t, _xlfn.MAKEARRAY(_xlpm.L,_xlpm.L,_xlfn.LAMBDA(_xlpm.I,_xlpm.J,IF(OR(_xlpm.J&lt;_xlpm.I),-99,0))))(8,#REF!)</f>
        <v>0</v>
      </c>
      <c r="DB63" s="82">
        <v>0</v>
      </c>
      <c r="DC63" s="82">
        <v>0</v>
      </c>
      <c r="DD63" s="82">
        <v>0</v>
      </c>
      <c r="DE63" s="82">
        <v>0</v>
      </c>
      <c r="DF63" s="82">
        <v>0</v>
      </c>
      <c r="DG63" s="82">
        <v>0</v>
      </c>
      <c r="DH63" s="83">
        <v>0</v>
      </c>
    </row>
    <row r="64" spans="8:112" x14ac:dyDescent="0.5">
      <c r="BK64" s="2"/>
      <c r="BL64" s="2"/>
      <c r="BM64" s="2"/>
      <c r="BN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Z64" s="2">
        <v>1</v>
      </c>
      <c r="DA64" s="84">
        <v>-99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85">
        <v>0</v>
      </c>
    </row>
    <row r="65" spans="14:122" x14ac:dyDescent="0.5">
      <c r="S65" s="2"/>
      <c r="T65" s="2"/>
      <c r="U65" s="2"/>
      <c r="V65" s="2"/>
      <c r="W65" s="2"/>
      <c r="X65" s="2"/>
      <c r="Y65" s="2"/>
      <c r="AA65" s="2"/>
      <c r="AB65" s="2"/>
      <c r="AC65" s="2"/>
      <c r="AD65" s="2"/>
      <c r="AE65" s="2"/>
      <c r="AF65"/>
      <c r="AG65"/>
      <c r="AH65" s="3" t="s">
        <v>30</v>
      </c>
      <c r="AI65" s="2"/>
      <c r="AJ65" s="2"/>
      <c r="AN65" s="2"/>
      <c r="AO65" s="2"/>
      <c r="AP65" s="2"/>
      <c r="AS65"/>
      <c r="AT65"/>
      <c r="BK65" s="2"/>
      <c r="BL65" s="2"/>
      <c r="BM65" s="2"/>
      <c r="BN65" s="2"/>
      <c r="BY65" s="4"/>
      <c r="CE65" s="2"/>
      <c r="CF65" s="2"/>
      <c r="CG65" s="2"/>
      <c r="CH65" s="2"/>
      <c r="CI65" s="2"/>
      <c r="CJ65" s="2"/>
      <c r="CK65" s="2"/>
      <c r="CM65" s="2"/>
      <c r="CN65" s="2"/>
      <c r="CO65" s="2"/>
      <c r="CP65" s="2"/>
      <c r="CQ65" s="2"/>
      <c r="CR65" s="2"/>
      <c r="CZ65" s="2">
        <v>2</v>
      </c>
      <c r="DA65" s="84">
        <v>-99</v>
      </c>
      <c r="DB65" s="3">
        <v>-99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85">
        <v>0</v>
      </c>
    </row>
    <row r="66" spans="14:122" x14ac:dyDescent="0.5">
      <c r="N66" s="78" t="s">
        <v>30</v>
      </c>
      <c r="P66" s="2" t="s">
        <v>31</v>
      </c>
      <c r="Q66" s="2"/>
      <c r="R66" s="2"/>
      <c r="S66" s="2"/>
      <c r="T66" s="2"/>
      <c r="U66" s="2"/>
      <c r="V66" s="2"/>
      <c r="Z66" s="2" t="s">
        <v>32</v>
      </c>
      <c r="AA66" s="2"/>
      <c r="AB66" s="2"/>
      <c r="AC66" s="2"/>
      <c r="AD66" s="2"/>
      <c r="AE66" s="2"/>
      <c r="AF66"/>
      <c r="AG66"/>
      <c r="AH66" s="2">
        <v>0</v>
      </c>
      <c r="AI66" s="2"/>
      <c r="AJ66" s="2"/>
      <c r="AM66" s="2" t="s">
        <v>33</v>
      </c>
      <c r="AN66" s="2"/>
      <c r="AO66" s="2"/>
      <c r="AP66" s="2"/>
      <c r="AQ66" s="2"/>
      <c r="AR66" s="2"/>
      <c r="AS66"/>
      <c r="AT66"/>
      <c r="BK66" s="2"/>
      <c r="BL66" s="2"/>
      <c r="BM66" s="2"/>
      <c r="BN66" s="2"/>
      <c r="BZ66" s="78" t="s">
        <v>30</v>
      </c>
      <c r="CB66" s="2" t="s">
        <v>31</v>
      </c>
      <c r="CC66" s="2"/>
      <c r="CD66" s="2"/>
      <c r="CE66" s="2"/>
      <c r="CF66" s="2"/>
      <c r="CG66" s="2"/>
      <c r="CH66" s="2"/>
      <c r="CL66" s="2" t="s">
        <v>32</v>
      </c>
      <c r="CM66" s="2"/>
      <c r="CN66" s="2"/>
      <c r="CO66" s="2"/>
      <c r="CP66" s="2"/>
      <c r="CQ66" s="2"/>
      <c r="CR66" s="2"/>
      <c r="CS66" s="2"/>
      <c r="CZ66" s="2">
        <v>3</v>
      </c>
      <c r="DA66" s="84">
        <v>-99</v>
      </c>
      <c r="DB66" s="3">
        <v>-99</v>
      </c>
      <c r="DC66" s="3">
        <v>-99</v>
      </c>
      <c r="DD66" s="3">
        <v>0</v>
      </c>
      <c r="DE66" s="3">
        <v>0</v>
      </c>
      <c r="DF66" s="3">
        <v>0</v>
      </c>
      <c r="DG66" s="3">
        <v>0</v>
      </c>
      <c r="DH66" s="85">
        <v>0</v>
      </c>
    </row>
    <row r="67" spans="14:122" x14ac:dyDescent="0.5">
      <c r="N67" s="3">
        <v>0</v>
      </c>
      <c r="P67" s="16">
        <v>-1</v>
      </c>
      <c r="Q67" s="17">
        <v>-1</v>
      </c>
      <c r="R67" s="17">
        <v>1</v>
      </c>
      <c r="S67" s="17">
        <v>1</v>
      </c>
      <c r="T67" s="18">
        <v>1</v>
      </c>
      <c r="U67" s="2" t="s">
        <v>28</v>
      </c>
      <c r="Z67" s="6" cm="1">
        <f t="array" ref="Z67:AE72">MMULT(P67:T72,_xlfn.ANCHORARRAY(Z50))</f>
        <v>0.32337797438175686</v>
      </c>
      <c r="AA67" s="6">
        <v>1.884357616065778</v>
      </c>
      <c r="AB67" s="6">
        <v>3.0586317440413113</v>
      </c>
      <c r="AC67" s="6">
        <v>2.0396907804225304</v>
      </c>
      <c r="AD67" s="6">
        <v>1.0183409612205896</v>
      </c>
      <c r="AE67" s="6">
        <v>4.0077000545276347</v>
      </c>
      <c r="AF67"/>
      <c r="AG67"/>
      <c r="AH67" s="2"/>
      <c r="AI67" s="2"/>
      <c r="AJ67" s="2"/>
      <c r="AL67" s="2"/>
      <c r="AM67" s="6" cm="1">
        <f t="array" ref="AM67:AR69">Z67:AE69</f>
        <v>0.32337797438175686</v>
      </c>
      <c r="AN67" s="6">
        <v>1.884357616065778</v>
      </c>
      <c r="AO67" s="6">
        <v>3.0586317440413113</v>
      </c>
      <c r="AP67" s="6">
        <v>2.0396907804225304</v>
      </c>
      <c r="AQ67" s="6">
        <v>1.0183409612205896</v>
      </c>
      <c r="AR67" s="6">
        <v>4.0077000545276347</v>
      </c>
      <c r="AS67"/>
      <c r="AT67"/>
      <c r="BK67" s="2"/>
      <c r="BL67" s="2"/>
      <c r="BM67" s="2"/>
      <c r="BN67" s="2"/>
      <c r="BZ67" s="3">
        <v>0</v>
      </c>
      <c r="CB67" s="16">
        <v>-1</v>
      </c>
      <c r="CC67" s="17">
        <v>-1</v>
      </c>
      <c r="CD67" s="17">
        <v>1</v>
      </c>
      <c r="CE67" s="17">
        <v>1</v>
      </c>
      <c r="CF67" s="17">
        <v>0</v>
      </c>
      <c r="CG67" s="18">
        <v>1</v>
      </c>
      <c r="CH67" s="2" t="s">
        <v>28</v>
      </c>
      <c r="CL67" s="6" cm="1">
        <f t="array" ref="CL67:CS75">MMULT($CB67:$CG75,CL52:CS57)</f>
        <v>-3.61747443939174</v>
      </c>
      <c r="CM67" s="6">
        <v>2.7911170068538995</v>
      </c>
      <c r="CN67" s="6">
        <v>0.94194011122132126</v>
      </c>
      <c r="CO67" s="6">
        <v>5.1243084438299249</v>
      </c>
      <c r="CP67" s="6">
        <v>0.9511351682066258</v>
      </c>
      <c r="CQ67" s="6">
        <v>5.7157238087562048</v>
      </c>
      <c r="CR67" s="6">
        <v>0.51231020235588942</v>
      </c>
      <c r="CS67" s="6">
        <v>0.35820721093753405</v>
      </c>
      <c r="CZ67" s="2">
        <v>4</v>
      </c>
      <c r="DA67" s="84">
        <v>-99</v>
      </c>
      <c r="DB67" s="3">
        <v>-99</v>
      </c>
      <c r="DC67" s="3">
        <v>-99</v>
      </c>
      <c r="DD67" s="3">
        <v>-99</v>
      </c>
      <c r="DE67" s="3">
        <v>0</v>
      </c>
      <c r="DF67" s="3">
        <v>0</v>
      </c>
      <c r="DG67" s="3">
        <v>0</v>
      </c>
      <c r="DH67" s="85">
        <v>0</v>
      </c>
    </row>
    <row r="68" spans="14:122" x14ac:dyDescent="0.5">
      <c r="P68" s="19">
        <v>1</v>
      </c>
      <c r="Q68" s="20">
        <v>-1</v>
      </c>
      <c r="R68" s="20">
        <v>-1</v>
      </c>
      <c r="S68" s="20">
        <v>0</v>
      </c>
      <c r="T68" s="21">
        <v>-1</v>
      </c>
      <c r="U68" s="2" t="s">
        <v>28</v>
      </c>
      <c r="Z68" s="7">
        <v>-1.7530388705855742</v>
      </c>
      <c r="AA68" s="7">
        <v>-0.91541418251036033</v>
      </c>
      <c r="AB68" s="7">
        <v>-7.060633265914551</v>
      </c>
      <c r="AC68" s="7">
        <v>-3.0398174918981158</v>
      </c>
      <c r="AD68" s="7">
        <v>-6.0183489604206217</v>
      </c>
      <c r="AE68" s="7">
        <v>-5.0077005592855102</v>
      </c>
      <c r="AF68"/>
      <c r="AG68"/>
      <c r="AH68" s="2"/>
      <c r="AI68" s="2"/>
      <c r="AJ68" s="2"/>
      <c r="AL68" s="2"/>
      <c r="AM68" s="7">
        <v>-1.7530388705855742</v>
      </c>
      <c r="AN68" s="7">
        <v>-0.91541418251036033</v>
      </c>
      <c r="AO68" s="7">
        <v>-7.060633265914551</v>
      </c>
      <c r="AP68" s="7">
        <v>-3.0398174918981158</v>
      </c>
      <c r="AQ68" s="7">
        <v>-6.0183489604206217</v>
      </c>
      <c r="AR68" s="7">
        <v>-5.0077005592855102</v>
      </c>
      <c r="AS68"/>
      <c r="AT68"/>
      <c r="BC68"/>
      <c r="BD68"/>
      <c r="BE68"/>
      <c r="CB68" s="19">
        <v>1</v>
      </c>
      <c r="CC68" s="20">
        <v>-1</v>
      </c>
      <c r="CD68" s="20">
        <v>-1</v>
      </c>
      <c r="CE68" s="20">
        <v>0</v>
      </c>
      <c r="CF68" s="20">
        <v>0</v>
      </c>
      <c r="CG68" s="21">
        <v>-1</v>
      </c>
      <c r="CH68" s="2" t="s">
        <v>28</v>
      </c>
      <c r="CL68" s="7">
        <v>3.0651633543576584</v>
      </c>
      <c r="CM68" s="7">
        <v>-6.4329178630677282</v>
      </c>
      <c r="CN68" s="7">
        <v>-0.17061360516498714</v>
      </c>
      <c r="CO68" s="7">
        <v>-2.2006633999457055</v>
      </c>
      <c r="CP68" s="7">
        <v>-2.9758930301067279</v>
      </c>
      <c r="CQ68" s="7">
        <v>-4.7236441280376766</v>
      </c>
      <c r="CR68" s="7">
        <v>-0.51482830386848977</v>
      </c>
      <c r="CS68" s="7">
        <v>-0.35900548887437123</v>
      </c>
      <c r="CZ68" s="2">
        <v>5</v>
      </c>
      <c r="DA68" s="84">
        <v>-99</v>
      </c>
      <c r="DB68" s="3">
        <v>-99</v>
      </c>
      <c r="DC68" s="3">
        <v>-99</v>
      </c>
      <c r="DD68" s="3">
        <v>-99</v>
      </c>
      <c r="DE68" s="3">
        <v>-99</v>
      </c>
      <c r="DF68" s="3">
        <v>0</v>
      </c>
      <c r="DG68" s="3">
        <v>0</v>
      </c>
      <c r="DH68" s="85">
        <v>0</v>
      </c>
    </row>
    <row r="69" spans="14:122" x14ac:dyDescent="0.5">
      <c r="P69" s="22">
        <v>-1</v>
      </c>
      <c r="Q69" s="23">
        <v>-1</v>
      </c>
      <c r="R69" s="23">
        <v>0</v>
      </c>
      <c r="S69" s="23">
        <v>0</v>
      </c>
      <c r="T69" s="24">
        <v>1</v>
      </c>
      <c r="U69" s="2" t="s">
        <v>28</v>
      </c>
      <c r="Z69" s="8">
        <v>-5.0440325123181466</v>
      </c>
      <c r="AA69" s="8">
        <v>-0.59705871837761082</v>
      </c>
      <c r="AB69" s="8">
        <v>-1.1732189722537205</v>
      </c>
      <c r="AC69" s="8">
        <v>-3.0577777421840517</v>
      </c>
      <c r="AD69" s="8">
        <v>-2.0211984067150324</v>
      </c>
      <c r="AE69" s="8">
        <v>-1.0081522399359679</v>
      </c>
      <c r="AF69"/>
      <c r="AG69"/>
      <c r="AH69" s="2"/>
      <c r="AI69" s="2"/>
      <c r="AJ69" s="2"/>
      <c r="AL69" s="2"/>
      <c r="AM69" s="8">
        <v>-5.0440325123181466</v>
      </c>
      <c r="AN69" s="8">
        <v>-0.59705871837761082</v>
      </c>
      <c r="AO69" s="8">
        <v>-1.1732189722537205</v>
      </c>
      <c r="AP69" s="8">
        <v>-3.0577777421840517</v>
      </c>
      <c r="AQ69" s="8">
        <v>-2.0211984067150324</v>
      </c>
      <c r="AR69" s="8">
        <v>-1.0081522399359679</v>
      </c>
      <c r="AS69"/>
      <c r="AT69"/>
      <c r="BC69"/>
      <c r="BD69"/>
      <c r="BE69"/>
      <c r="CB69" s="22">
        <v>-1</v>
      </c>
      <c r="CC69" s="23">
        <v>-1</v>
      </c>
      <c r="CD69" s="23">
        <v>0</v>
      </c>
      <c r="CE69" s="23">
        <v>0</v>
      </c>
      <c r="CF69" s="23">
        <v>0</v>
      </c>
      <c r="CG69" s="24">
        <v>1</v>
      </c>
      <c r="CH69" s="2" t="s">
        <v>28</v>
      </c>
      <c r="CL69" s="8">
        <v>-4.5663373745437781</v>
      </c>
      <c r="CM69" s="8">
        <v>-3.3456845046893227</v>
      </c>
      <c r="CN69" s="8">
        <v>-3.5943942399678237</v>
      </c>
      <c r="CO69" s="8">
        <v>-0.43298949067176062</v>
      </c>
      <c r="CP69" s="8">
        <v>-3.5074370827884267</v>
      </c>
      <c r="CQ69" s="8">
        <v>0.37096897732194822</v>
      </c>
      <c r="CR69" s="8">
        <v>-0.73603149343732088</v>
      </c>
      <c r="CS69" s="8">
        <v>-0.8167122118187583</v>
      </c>
      <c r="CZ69" s="2">
        <v>6</v>
      </c>
      <c r="DA69" s="84">
        <v>-99</v>
      </c>
      <c r="DB69" s="3">
        <v>-99</v>
      </c>
      <c r="DC69" s="3">
        <v>-99</v>
      </c>
      <c r="DD69" s="3">
        <v>-99</v>
      </c>
      <c r="DE69" s="3">
        <v>-99</v>
      </c>
      <c r="DF69" s="3">
        <v>-99</v>
      </c>
      <c r="DG69" s="3">
        <v>0</v>
      </c>
      <c r="DH69" s="85">
        <v>0</v>
      </c>
    </row>
    <row r="70" spans="14:122" x14ac:dyDescent="0.5">
      <c r="N70" s="3">
        <v>1</v>
      </c>
      <c r="P70" s="16">
        <v>0</v>
      </c>
      <c r="Q70" s="17">
        <v>1</v>
      </c>
      <c r="R70" s="17">
        <v>1</v>
      </c>
      <c r="S70" s="17">
        <v>1</v>
      </c>
      <c r="T70" s="18">
        <v>1</v>
      </c>
      <c r="U70" s="2" t="s">
        <v>28</v>
      </c>
      <c r="Z70" s="6">
        <v>9.6746013463877052</v>
      </c>
      <c r="AA70" s="6">
        <v>6.4952187434880706</v>
      </c>
      <c r="AB70" s="6">
        <v>10.308355503014587</v>
      </c>
      <c r="AC70" s="6">
        <v>10.139808517112671</v>
      </c>
      <c r="AD70" s="6">
        <v>8.058288295023921</v>
      </c>
      <c r="AE70" s="6">
        <v>9.0236162486395202</v>
      </c>
      <c r="AF70"/>
      <c r="AG70"/>
      <c r="AH70" s="2"/>
      <c r="AI70" s="2"/>
      <c r="AJ70" s="2"/>
      <c r="AL70" s="2"/>
      <c r="AM70" s="2"/>
      <c r="AN70" s="2"/>
      <c r="AO70" s="2"/>
      <c r="AP70" s="2"/>
      <c r="AS70"/>
      <c r="AT70"/>
      <c r="BC70"/>
      <c r="BD70"/>
      <c r="BE70"/>
      <c r="BZ70" s="3">
        <v>1</v>
      </c>
      <c r="CB70" s="16">
        <v>0</v>
      </c>
      <c r="CC70" s="17">
        <v>1</v>
      </c>
      <c r="CD70" s="17">
        <v>1</v>
      </c>
      <c r="CE70" s="17">
        <v>1</v>
      </c>
      <c r="CF70" s="17">
        <v>1</v>
      </c>
      <c r="CG70" s="18">
        <v>1</v>
      </c>
      <c r="CH70" s="2" t="s">
        <v>28</v>
      </c>
      <c r="CL70" s="6">
        <v>4.1509621182543448</v>
      </c>
      <c r="CM70" s="6">
        <v>10.604904291378352</v>
      </c>
      <c r="CN70" s="6">
        <v>10.064267307001881</v>
      </c>
      <c r="CO70" s="6">
        <v>9.4103245187589906</v>
      </c>
      <c r="CP70" s="6">
        <v>12.261673744139218</v>
      </c>
      <c r="CQ70" s="6">
        <v>10.985649197514725</v>
      </c>
      <c r="CR70" s="6">
        <v>2.7242036661746263</v>
      </c>
      <c r="CS70" s="6">
        <v>2.5157174128141397</v>
      </c>
      <c r="CZ70" s="2">
        <v>7</v>
      </c>
      <c r="DA70" s="86">
        <v>-99</v>
      </c>
      <c r="DB70" s="87">
        <v>-99</v>
      </c>
      <c r="DC70" s="87">
        <v>-99</v>
      </c>
      <c r="DD70" s="87">
        <v>-99</v>
      </c>
      <c r="DE70" s="87">
        <v>-99</v>
      </c>
      <c r="DF70" s="87">
        <v>-99</v>
      </c>
      <c r="DG70" s="87">
        <v>-99</v>
      </c>
      <c r="DH70" s="88">
        <v>0</v>
      </c>
    </row>
    <row r="71" spans="14:122" x14ac:dyDescent="0.5">
      <c r="P71" s="19">
        <v>0</v>
      </c>
      <c r="Q71" s="20">
        <v>1</v>
      </c>
      <c r="R71" s="20">
        <v>-1</v>
      </c>
      <c r="S71" s="20">
        <v>1</v>
      </c>
      <c r="T71" s="21">
        <v>1</v>
      </c>
      <c r="U71" s="2" t="s">
        <v>28</v>
      </c>
      <c r="Z71" s="7">
        <v>6.9393124324354236</v>
      </c>
      <c r="AA71" s="7">
        <v>4.7170615250981713</v>
      </c>
      <c r="AB71" s="7">
        <v>6.3440782957610571</v>
      </c>
      <c r="AC71" s="7">
        <v>6.1454844464981973</v>
      </c>
      <c r="AD71" s="7">
        <v>4.0591882275259463</v>
      </c>
      <c r="AE71" s="7">
        <v>1.0237588873313261</v>
      </c>
      <c r="AF71"/>
      <c r="AG71"/>
      <c r="AH71" s="25"/>
      <c r="AI71" s="2"/>
      <c r="AJ71" s="2"/>
      <c r="AL71" s="2"/>
      <c r="AM71" s="25" t="s">
        <v>34</v>
      </c>
      <c r="AN71" s="2"/>
      <c r="AO71" s="2"/>
      <c r="AP71" s="2"/>
      <c r="AS71"/>
      <c r="AT71"/>
      <c r="AV71" s="2" t="s">
        <v>3</v>
      </c>
      <c r="AW71" s="2">
        <v>0</v>
      </c>
      <c r="AX71" s="2">
        <v>1</v>
      </c>
      <c r="AY71" s="2">
        <v>2</v>
      </c>
      <c r="AZ71" s="2">
        <v>3</v>
      </c>
      <c r="BA71" s="2">
        <v>4</v>
      </c>
      <c r="BB71" s="2">
        <v>5</v>
      </c>
      <c r="BC71"/>
      <c r="BD71"/>
      <c r="BE71"/>
      <c r="CB71" s="19">
        <v>0</v>
      </c>
      <c r="CC71" s="20">
        <v>1</v>
      </c>
      <c r="CD71" s="20">
        <v>0</v>
      </c>
      <c r="CE71" s="20">
        <v>1</v>
      </c>
      <c r="CF71" s="20">
        <v>0</v>
      </c>
      <c r="CG71" s="21">
        <v>1</v>
      </c>
      <c r="CH71" s="2" t="s">
        <v>28</v>
      </c>
      <c r="CL71" s="7">
        <v>2.5717193202119706</v>
      </c>
      <c r="CM71" s="7">
        <v>9.1091655078927207</v>
      </c>
      <c r="CN71" s="7">
        <v>7.4918560152048652</v>
      </c>
      <c r="CO71" s="7">
        <v>7.1382445768859011</v>
      </c>
      <c r="CP71" s="7">
        <v>6.6144986633972582</v>
      </c>
      <c r="CQ71" s="7">
        <v>7.1527301464987465</v>
      </c>
      <c r="CR71" s="7">
        <v>0.80247918029708609</v>
      </c>
      <c r="CS71" s="7">
        <v>0.55220648939994399</v>
      </c>
      <c r="CV71" s="3" t="s">
        <v>30</v>
      </c>
      <c r="CW71" s="2"/>
      <c r="CX71" s="2"/>
      <c r="DB71" s="2"/>
      <c r="DC71" s="2"/>
      <c r="DD71" s="2"/>
    </row>
    <row r="72" spans="14:122" x14ac:dyDescent="0.5">
      <c r="P72" s="22">
        <v>-1</v>
      </c>
      <c r="Q72" s="23">
        <v>1</v>
      </c>
      <c r="R72" s="23">
        <v>0</v>
      </c>
      <c r="S72" s="23">
        <v>-1</v>
      </c>
      <c r="T72" s="24">
        <v>0</v>
      </c>
      <c r="U72" s="2" t="s">
        <v>28</v>
      </c>
      <c r="Z72" s="8">
        <v>-5.2068490128383411</v>
      </c>
      <c r="AA72" s="8">
        <v>-5.2681074151311993</v>
      </c>
      <c r="AB72" s="8">
        <v>-0.12186541982928301</v>
      </c>
      <c r="AC72" s="8">
        <v>-5.0497744258270902</v>
      </c>
      <c r="AD72" s="8">
        <v>0.98005933209003349</v>
      </c>
      <c r="AE72" s="8">
        <v>-3.0079536300703191</v>
      </c>
      <c r="AF72"/>
      <c r="AG72"/>
      <c r="AI72" s="2" t="s">
        <v>35</v>
      </c>
      <c r="AJ72" s="2"/>
      <c r="AL72" s="2"/>
      <c r="AM72" s="2" t="s">
        <v>27</v>
      </c>
      <c r="AN72" s="2" t="s">
        <v>27</v>
      </c>
      <c r="AO72" s="2" t="s">
        <v>27</v>
      </c>
      <c r="AP72" s="2" t="s">
        <v>27</v>
      </c>
      <c r="AQ72" s="2" t="s">
        <v>27</v>
      </c>
      <c r="AR72" s="2" t="s">
        <v>27</v>
      </c>
      <c r="AS72"/>
      <c r="AT72"/>
      <c r="AV72" s="2"/>
      <c r="AW72" s="2"/>
      <c r="AX72" s="2"/>
      <c r="AY72" s="2"/>
      <c r="AZ72" s="2"/>
      <c r="BA72" s="2"/>
      <c r="BB72" s="2"/>
      <c r="BC72"/>
      <c r="BD72"/>
      <c r="BE72"/>
      <c r="CB72" s="22">
        <v>-1</v>
      </c>
      <c r="CC72" s="23">
        <v>1</v>
      </c>
      <c r="CD72" s="23">
        <v>0</v>
      </c>
      <c r="CE72" s="23">
        <v>-1</v>
      </c>
      <c r="CF72" s="23">
        <v>1</v>
      </c>
      <c r="CG72" s="24">
        <v>0</v>
      </c>
      <c r="CH72" s="2" t="s">
        <v>28</v>
      </c>
      <c r="CL72" s="8">
        <v>-2.1679777245502363</v>
      </c>
      <c r="CM72" s="8">
        <v>-1.7346480424368154</v>
      </c>
      <c r="CN72" s="8">
        <v>-4.3232112224320183</v>
      </c>
      <c r="CO72" s="8">
        <v>-5.844422843172973</v>
      </c>
      <c r="CP72" s="8">
        <v>0.48871729099364414</v>
      </c>
      <c r="CQ72" s="8">
        <v>-1.308170614901242</v>
      </c>
      <c r="CR72" s="8">
        <v>-0.18846014501071462</v>
      </c>
      <c r="CS72" s="8">
        <v>-0.11763297460399991</v>
      </c>
      <c r="CV72" s="2">
        <v>0</v>
      </c>
      <c r="CW72" s="2"/>
      <c r="CX72" s="2"/>
      <c r="DA72" s="2" t="s">
        <v>33</v>
      </c>
      <c r="DB72" s="2"/>
      <c r="DC72" s="2"/>
      <c r="DD72" s="2"/>
      <c r="DE72" s="2"/>
      <c r="DF72" s="2"/>
      <c r="DG72" s="2"/>
      <c r="DH72" s="2"/>
    </row>
    <row r="73" spans="14:122" x14ac:dyDescent="0.5">
      <c r="O73"/>
      <c r="P73"/>
      <c r="Q73"/>
      <c r="R73"/>
      <c r="S73"/>
      <c r="T73"/>
      <c r="U73"/>
      <c r="W73"/>
      <c r="X73"/>
      <c r="Y73"/>
      <c r="Z73"/>
      <c r="AA73"/>
      <c r="AB73"/>
      <c r="AC73"/>
      <c r="AD73"/>
      <c r="AE73"/>
      <c r="AF73"/>
      <c r="AG73"/>
      <c r="AI73" s="26" cm="1">
        <f t="array" ref="AI73:AK78">TRANSPOSE(Z80:AE82)</f>
        <v>0.32337797438175686</v>
      </c>
      <c r="AJ73" s="27">
        <v>-1.7530388705855742</v>
      </c>
      <c r="AK73" s="28">
        <v>-5.0440325123181466</v>
      </c>
      <c r="AL73" s="2" t="s">
        <v>28</v>
      </c>
      <c r="AM73" s="54" cm="1">
        <f t="array" ref="AM73:AR78">MMULT(_xlfn.ANCHORARRAY(AI73),_xlfn.ANCHORARRAY(AM67)) / SQRT(3)</f>
        <v>16.523754647586227</v>
      </c>
      <c r="AN73" s="68">
        <v>3.0170592906074631</v>
      </c>
      <c r="AO73" s="68">
        <v>11.133861235311931</v>
      </c>
      <c r="AP73" s="68">
        <v>12.362246851635259</v>
      </c>
      <c r="AQ73" s="68">
        <v>12.167483244057964</v>
      </c>
      <c r="AR73" s="69">
        <v>8.7525425164203554</v>
      </c>
      <c r="AS73"/>
      <c r="AT73"/>
      <c r="AW73" s="54" cm="1">
        <f t="array" ref="AW73:AW78">SOFTMAX(AM73:AM78)</f>
        <v>0.96768354243279664</v>
      </c>
      <c r="AX73" s="68" cm="1">
        <f t="array" ref="AX73:AX78">SOFTMAX(AN73:AN78)</f>
        <v>5.6437117719492979E-3</v>
      </c>
      <c r="AY73" s="68" cm="1">
        <f t="array" ref="AY73:AY78">SOFTMAX(AO73:AO78)</f>
        <v>4.4025654444666455E-11</v>
      </c>
      <c r="AZ73" s="68" cm="1">
        <f t="array" ref="AZ73:AZ78">SOFTMAX(AP73:AP78)</f>
        <v>2.93348195088894E-3</v>
      </c>
      <c r="BA73" s="68" cm="1">
        <f t="array" ref="BA73:BA78">SOFTMAX(AQ73:AQ78)</f>
        <v>1.7543380961176513E-7</v>
      </c>
      <c r="BB73" s="69" cm="1">
        <f t="array" ref="BB73:BB78">SOFTMAX(AR73:AR78)</f>
        <v>3.596550456307541E-9</v>
      </c>
      <c r="BC73"/>
      <c r="BD73"/>
      <c r="BE73"/>
      <c r="BZ73" s="3">
        <v>2</v>
      </c>
      <c r="CB73" s="16">
        <v>1</v>
      </c>
      <c r="CC73" s="17">
        <v>0</v>
      </c>
      <c r="CD73" s="17">
        <v>0</v>
      </c>
      <c r="CE73" s="17">
        <v>0</v>
      </c>
      <c r="CF73" s="17">
        <v>1</v>
      </c>
      <c r="CG73" s="18">
        <v>1</v>
      </c>
      <c r="CH73" s="2" t="s">
        <v>28</v>
      </c>
      <c r="CL73" s="6">
        <v>6.0004567705428791</v>
      </c>
      <c r="CM73" s="6">
        <v>1.5616880942143556</v>
      </c>
      <c r="CN73" s="6">
        <v>7.8872211188526267</v>
      </c>
      <c r="CO73" s="6">
        <v>6.4122314348016847</v>
      </c>
      <c r="CP73" s="6">
        <v>8.5029870318974261</v>
      </c>
      <c r="CQ73" s="6">
        <v>5.4372292005634337</v>
      </c>
      <c r="CR73" s="6">
        <v>2.3377049054764605</v>
      </c>
      <c r="CS73" s="6">
        <v>2.2470224653197506</v>
      </c>
      <c r="CV73" s="2"/>
      <c r="CW73" s="2"/>
      <c r="CX73" s="2"/>
      <c r="CZ73" s="2"/>
      <c r="DA73" s="6" cm="1">
        <f t="array" ref="DA73:DH75">CL67:CS69</f>
        <v>-3.61747443939174</v>
      </c>
      <c r="DB73" s="6">
        <v>2.7911170068538995</v>
      </c>
      <c r="DC73" s="6">
        <v>0.94194011122132126</v>
      </c>
      <c r="DD73" s="6">
        <v>5.1243084438299249</v>
      </c>
      <c r="DE73" s="6">
        <v>0.9511351682066258</v>
      </c>
      <c r="DF73" s="6">
        <v>5.7157238087562048</v>
      </c>
      <c r="DG73" s="6">
        <v>0.51231020235588942</v>
      </c>
      <c r="DH73" s="6">
        <v>0.35820721093753405</v>
      </c>
    </row>
    <row r="74" spans="14:122" x14ac:dyDescent="0.5">
      <c r="O74"/>
      <c r="P74"/>
      <c r="Q74"/>
      <c r="R74"/>
      <c r="S74"/>
      <c r="T74"/>
      <c r="U74"/>
      <c r="W74"/>
      <c r="X74"/>
      <c r="Y74"/>
      <c r="Z74"/>
      <c r="AA74"/>
      <c r="AB74"/>
      <c r="AC74"/>
      <c r="AD74"/>
      <c r="AE74"/>
      <c r="AF74"/>
      <c r="AG74"/>
      <c r="AH74" s="2"/>
      <c r="AI74" s="26">
        <v>1.884357616065778</v>
      </c>
      <c r="AJ74" s="27">
        <v>-0.91541418251036033</v>
      </c>
      <c r="AK74" s="28">
        <v>-0.59705871837761082</v>
      </c>
      <c r="AL74" s="2" t="s">
        <v>28</v>
      </c>
      <c r="AM74" s="55">
        <v>3.0170592906074631</v>
      </c>
      <c r="AN74" s="7">
        <v>2.7396805239318747</v>
      </c>
      <c r="AO74" s="7">
        <v>7.4636612333806793</v>
      </c>
      <c r="AP74" s="7">
        <v>4.8796904361772597</v>
      </c>
      <c r="AQ74" s="7">
        <v>4.9854049501663065</v>
      </c>
      <c r="AR74" s="57">
        <v>7.3542798300335344</v>
      </c>
      <c r="AS74"/>
      <c r="AT74"/>
      <c r="AW74" s="55">
        <v>1.3178017887280172E-6</v>
      </c>
      <c r="AX74" s="7">
        <v>4.2766209408154517E-3</v>
      </c>
      <c r="AY74" s="7">
        <v>1.1213939589552154E-12</v>
      </c>
      <c r="AZ74" s="7">
        <v>1.6510128699163494E-6</v>
      </c>
      <c r="BA74" s="7">
        <v>1.3334487319362633E-10</v>
      </c>
      <c r="BB74" s="57">
        <v>8.8844058311217925E-10</v>
      </c>
      <c r="BC74"/>
      <c r="BD74"/>
      <c r="BE74"/>
      <c r="CB74" s="19">
        <v>-1</v>
      </c>
      <c r="CC74" s="20">
        <v>1</v>
      </c>
      <c r="CD74" s="20">
        <v>-1</v>
      </c>
      <c r="CE74" s="20">
        <v>1</v>
      </c>
      <c r="CF74" s="20">
        <v>0</v>
      </c>
      <c r="CG74" s="21">
        <v>1</v>
      </c>
      <c r="CH74" s="2" t="s">
        <v>28</v>
      </c>
      <c r="CL74" s="7">
        <v>-0.74941024894487041</v>
      </c>
      <c r="CM74" s="7">
        <v>6.0375909366397744</v>
      </c>
      <c r="CN74" s="7">
        <v>2.9586871242474575</v>
      </c>
      <c r="CO74" s="7">
        <v>2.3630636703498684</v>
      </c>
      <c r="CP74" s="7">
        <v>1.7206446256153463</v>
      </c>
      <c r="CQ74" s="7">
        <v>4.202389492095115</v>
      </c>
      <c r="CR74" s="7">
        <v>-1.1743863840733764</v>
      </c>
      <c r="CS74" s="7">
        <v>-1.4370371857763615</v>
      </c>
      <c r="CV74" s="2"/>
      <c r="CW74" s="2"/>
      <c r="CX74" s="2"/>
      <c r="CZ74" s="2"/>
      <c r="DA74" s="7">
        <v>3.0651633543576584</v>
      </c>
      <c r="DB74" s="7">
        <v>-6.4329178630677282</v>
      </c>
      <c r="DC74" s="7">
        <v>-0.17061360516498714</v>
      </c>
      <c r="DD74" s="7">
        <v>-2.2006633999457055</v>
      </c>
      <c r="DE74" s="7">
        <v>-2.9758930301067279</v>
      </c>
      <c r="DF74" s="7">
        <v>-4.7236441280376766</v>
      </c>
      <c r="DG74" s="7">
        <v>-0.51482830386848977</v>
      </c>
      <c r="DH74" s="7">
        <v>-0.35900548887437123</v>
      </c>
    </row>
    <row r="75" spans="14:122" x14ac:dyDescent="0.5">
      <c r="O75"/>
      <c r="P75"/>
      <c r="Q75"/>
      <c r="R75"/>
      <c r="S75"/>
      <c r="T75"/>
      <c r="U75"/>
      <c r="W75"/>
      <c r="X75"/>
      <c r="Y75"/>
      <c r="Z75"/>
      <c r="AA75"/>
      <c r="AB75"/>
      <c r="AC75"/>
      <c r="AD75"/>
      <c r="AE75"/>
      <c r="AF75"/>
      <c r="AG75"/>
      <c r="AH75" s="2"/>
      <c r="AI75" s="26">
        <v>3.0586317440413113</v>
      </c>
      <c r="AJ75" s="27">
        <v>-7.060633265914551</v>
      </c>
      <c r="AK75" s="28">
        <v>-1.1732189722537205</v>
      </c>
      <c r="AL75" s="2" t="s">
        <v>28</v>
      </c>
      <c r="AM75" s="55">
        <v>11.133861235311931</v>
      </c>
      <c r="AN75" s="7">
        <v>7.4636612333806793</v>
      </c>
      <c r="AO75" s="7">
        <v>34.978311694729683</v>
      </c>
      <c r="AP75" s="7">
        <v>18.064794749650982</v>
      </c>
      <c r="AQ75" s="7">
        <v>27.700915570061323</v>
      </c>
      <c r="AR75" s="57">
        <v>28.173768854570348</v>
      </c>
      <c r="AS75"/>
      <c r="AT75"/>
      <c r="AW75" s="55">
        <v>4.415017079559067E-3</v>
      </c>
      <c r="AX75" s="7">
        <v>0.48161445467966002</v>
      </c>
      <c r="AY75" s="7">
        <v>0.99820347873689741</v>
      </c>
      <c r="AZ75" s="7">
        <v>0.87895877317616844</v>
      </c>
      <c r="BA75" s="7">
        <v>0.97768114238629644</v>
      </c>
      <c r="BB75" s="57">
        <v>0.97817731735825997</v>
      </c>
      <c r="BC75"/>
      <c r="BD75"/>
      <c r="BE75"/>
      <c r="CB75" s="22">
        <v>0</v>
      </c>
      <c r="CC75" s="23">
        <v>0</v>
      </c>
      <c r="CD75" s="23">
        <v>-1</v>
      </c>
      <c r="CE75" s="23">
        <v>-1</v>
      </c>
      <c r="CF75" s="23">
        <v>0</v>
      </c>
      <c r="CG75" s="24">
        <v>1</v>
      </c>
      <c r="CH75" s="2" t="s">
        <v>28</v>
      </c>
      <c r="CL75" s="8">
        <v>-0.76003864531554033</v>
      </c>
      <c r="CM75" s="8">
        <v>-4.7876744800866611</v>
      </c>
      <c r="CN75" s="8">
        <v>-2.5891861936864924</v>
      </c>
      <c r="CO75" s="8">
        <v>-2.5957289053774417</v>
      </c>
      <c r="CP75" s="8">
        <v>-2.6874005672972072</v>
      </c>
      <c r="CQ75" s="8">
        <v>-2.7801123580392213</v>
      </c>
      <c r="CR75" s="8">
        <v>-0.85085591807470151</v>
      </c>
      <c r="CS75" s="8">
        <v>-0.90001015775569304</v>
      </c>
      <c r="CV75" s="2"/>
      <c r="CW75" s="2"/>
      <c r="CX75" s="2"/>
      <c r="CZ75" s="2"/>
      <c r="DA75" s="8">
        <v>-4.5663373745437781</v>
      </c>
      <c r="DB75" s="8">
        <v>-3.3456845046893227</v>
      </c>
      <c r="DC75" s="8">
        <v>-3.5943942399678237</v>
      </c>
      <c r="DD75" s="8">
        <v>-0.43298949067176062</v>
      </c>
      <c r="DE75" s="8">
        <v>-3.5074370827884267</v>
      </c>
      <c r="DF75" s="8">
        <v>0.37096897732194822</v>
      </c>
      <c r="DG75" s="8">
        <v>-0.73603149343732088</v>
      </c>
      <c r="DH75" s="8">
        <v>-0.8167122118187583</v>
      </c>
    </row>
    <row r="76" spans="14:122" x14ac:dyDescent="0.5">
      <c r="AF76"/>
      <c r="AG76"/>
      <c r="AH76" s="2"/>
      <c r="AI76" s="26">
        <v>2.0396907804225304</v>
      </c>
      <c r="AJ76" s="27">
        <v>-3.0398174918981158</v>
      </c>
      <c r="AK76" s="28">
        <v>-3.0577777421840517</v>
      </c>
      <c r="AL76" s="2" t="s">
        <v>28</v>
      </c>
      <c r="AM76" s="55">
        <v>12.362246851635259</v>
      </c>
      <c r="AN76" s="7">
        <v>4.8796904361772597</v>
      </c>
      <c r="AO76" s="7">
        <v>18.064794749650982</v>
      </c>
      <c r="AP76" s="7">
        <v>13.135199894233994</v>
      </c>
      <c r="AQ76" s="7">
        <v>15.329895922638467</v>
      </c>
      <c r="AR76" s="57">
        <v>15.288044652338618</v>
      </c>
      <c r="AS76"/>
      <c r="AT76"/>
      <c r="AW76" s="55">
        <v>1.5080421587225104E-2</v>
      </c>
      <c r="AX76" s="7">
        <v>3.6349233249583057E-2</v>
      </c>
      <c r="AY76" s="7">
        <v>4.5058009289607617E-8</v>
      </c>
      <c r="AZ76" s="7">
        <v>6.3543723766593535E-3</v>
      </c>
      <c r="BA76" s="7">
        <v>4.1450681011169453E-6</v>
      </c>
      <c r="BB76" s="57">
        <v>2.4786697780210601E-6</v>
      </c>
      <c r="BC76"/>
      <c r="BD76"/>
      <c r="BE76"/>
      <c r="CV76" s="2"/>
      <c r="CW76" s="2"/>
      <c r="CX76" s="2"/>
      <c r="CZ76" s="2"/>
      <c r="DA76" s="2"/>
      <c r="DB76" s="2"/>
      <c r="DC76" s="2"/>
      <c r="DD76" s="2"/>
    </row>
    <row r="77" spans="14:122" x14ac:dyDescent="0.5">
      <c r="AF77"/>
      <c r="AG77"/>
      <c r="AH77" s="2"/>
      <c r="AI77" s="26">
        <v>1.0183409612205896</v>
      </c>
      <c r="AJ77" s="27">
        <v>-6.0183489604206217</v>
      </c>
      <c r="AK77" s="28">
        <v>-2.0211984067150324</v>
      </c>
      <c r="AL77" s="2" t="s">
        <v>28</v>
      </c>
      <c r="AM77" s="55">
        <v>12.167483244057964</v>
      </c>
      <c r="AN77" s="7">
        <v>4.9854049501663065</v>
      </c>
      <c r="AO77" s="7">
        <v>27.700915570061323</v>
      </c>
      <c r="AP77" s="7">
        <v>15.329895922638467</v>
      </c>
      <c r="AQ77" s="7">
        <v>23.869268350177414</v>
      </c>
      <c r="AR77" s="57">
        <v>20.932971552295626</v>
      </c>
      <c r="AS77"/>
      <c r="AT77"/>
      <c r="AU77" s="2"/>
      <c r="AW77" s="55">
        <v>1.241162720792827E-2</v>
      </c>
      <c r="AX77" s="7">
        <v>4.0402336772569006E-2</v>
      </c>
      <c r="AY77" s="7">
        <v>6.8974109073318107E-4</v>
      </c>
      <c r="AZ77" s="7">
        <v>5.7044927984342214E-2</v>
      </c>
      <c r="BA77" s="7">
        <v>2.1190148212519994E-2</v>
      </c>
      <c r="BB77" s="57">
        <v>7.0109888257904374E-4</v>
      </c>
      <c r="BC77"/>
      <c r="BD77"/>
      <c r="BE77"/>
      <c r="CV77" s="25"/>
      <c r="CW77" s="2"/>
      <c r="CX77" s="2"/>
      <c r="CZ77" s="2"/>
      <c r="DA77" s="91" t="s">
        <v>52</v>
      </c>
      <c r="DB77" s="2"/>
      <c r="DC77" s="2"/>
      <c r="DD77" s="2"/>
      <c r="DJ77" s="2" t="s">
        <v>3</v>
      </c>
      <c r="DK77" s="2">
        <v>0</v>
      </c>
      <c r="DL77" s="2">
        <v>1</v>
      </c>
      <c r="DM77" s="2">
        <v>2</v>
      </c>
      <c r="DN77" s="2">
        <v>3</v>
      </c>
      <c r="DO77" s="2">
        <v>4</v>
      </c>
      <c r="DP77" s="2">
        <v>5</v>
      </c>
      <c r="DQ77" s="2">
        <v>6</v>
      </c>
      <c r="DR77" s="2">
        <v>7</v>
      </c>
    </row>
    <row r="78" spans="14:122" x14ac:dyDescent="0.5">
      <c r="P78" s="2"/>
      <c r="Q78" s="2"/>
      <c r="R78" s="2"/>
      <c r="S78" s="2"/>
      <c r="T78" s="2"/>
      <c r="U78" s="2"/>
      <c r="AA78" s="2"/>
      <c r="AB78" s="2"/>
      <c r="AC78" s="2"/>
      <c r="AD78" s="2"/>
      <c r="AE78" s="2"/>
      <c r="AF78"/>
      <c r="AG78"/>
      <c r="AH78" s="2"/>
      <c r="AI78" s="26">
        <v>4.0077000545276347</v>
      </c>
      <c r="AJ78" s="27">
        <v>-5.0077005592855102</v>
      </c>
      <c r="AK78" s="28">
        <v>-1.0081522399359679</v>
      </c>
      <c r="AL78" s="2" t="s">
        <v>28</v>
      </c>
      <c r="AM78" s="56">
        <v>8.7525425164203554</v>
      </c>
      <c r="AN78" s="58">
        <v>7.3542798300335344</v>
      </c>
      <c r="AO78" s="58">
        <v>28.173768854570348</v>
      </c>
      <c r="AP78" s="58">
        <v>15.288044652338618</v>
      </c>
      <c r="AQ78" s="58">
        <v>20.932971552295626</v>
      </c>
      <c r="AR78" s="59">
        <v>24.338255767789178</v>
      </c>
      <c r="AS78"/>
      <c r="AT78"/>
      <c r="AU78" s="2"/>
      <c r="AW78" s="56">
        <v>4.0807389070214074E-4</v>
      </c>
      <c r="AX78" s="58">
        <v>0.431713642585423</v>
      </c>
      <c r="AY78" s="58">
        <v>1.1067350692130437E-3</v>
      </c>
      <c r="AZ78" s="58">
        <v>5.4706793499071246E-2</v>
      </c>
      <c r="BA78" s="58">
        <v>1.1243887659278969E-3</v>
      </c>
      <c r="BB78" s="59">
        <v>2.1119100604392E-2</v>
      </c>
      <c r="BC78"/>
      <c r="BD78"/>
      <c r="BE78"/>
      <c r="CB78" s="2"/>
      <c r="CC78" s="2"/>
      <c r="CD78" s="2"/>
      <c r="CE78" s="2"/>
      <c r="CF78" s="2"/>
      <c r="CG78" s="2"/>
      <c r="CH78" s="2"/>
      <c r="CM78" s="2"/>
      <c r="CN78" s="2"/>
      <c r="CO78" s="2"/>
      <c r="CP78" s="2"/>
      <c r="CQ78" s="2"/>
      <c r="CR78" s="2"/>
      <c r="CS78" s="2"/>
      <c r="CW78" s="2" t="s">
        <v>35</v>
      </c>
      <c r="CX78" s="2"/>
      <c r="CZ78" s="2"/>
      <c r="DA78" s="2" t="s">
        <v>27</v>
      </c>
      <c r="DB78" s="2" t="s">
        <v>27</v>
      </c>
      <c r="DC78" s="2" t="s">
        <v>27</v>
      </c>
      <c r="DD78" s="2" t="s">
        <v>27</v>
      </c>
      <c r="DE78" s="2" t="s">
        <v>27</v>
      </c>
      <c r="DF78" s="2" t="s">
        <v>27</v>
      </c>
      <c r="DG78" s="2" t="s">
        <v>27</v>
      </c>
      <c r="DH78" s="2" t="s">
        <v>27</v>
      </c>
      <c r="DJ78" s="2"/>
      <c r="DK78" s="2"/>
      <c r="DL78" s="2"/>
      <c r="DM78" s="2"/>
      <c r="DN78" s="2"/>
      <c r="DO78" s="2"/>
      <c r="DP78" s="2"/>
      <c r="DQ78" s="2"/>
      <c r="DR78" s="2"/>
    </row>
    <row r="79" spans="14:122" x14ac:dyDescent="0.5">
      <c r="N79" s="78"/>
      <c r="P79" s="2" t="s">
        <v>36</v>
      </c>
      <c r="Q79" s="2"/>
      <c r="R79" s="2"/>
      <c r="S79" s="2"/>
      <c r="T79" s="2"/>
      <c r="U79" s="2"/>
      <c r="Z79" s="2" t="s">
        <v>37</v>
      </c>
      <c r="AA79" s="2"/>
      <c r="AB79" s="2"/>
      <c r="AC79" s="2"/>
      <c r="AD79" s="2"/>
      <c r="AE79" s="2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CB79" s="2" t="s">
        <v>36</v>
      </c>
      <c r="CC79" s="2"/>
      <c r="CD79" s="2"/>
      <c r="CE79" s="2"/>
      <c r="CF79" s="2"/>
      <c r="CG79" s="2"/>
      <c r="CH79" s="2"/>
      <c r="CL79" s="2" t="s">
        <v>37</v>
      </c>
      <c r="CM79" s="2"/>
      <c r="CN79" s="2"/>
      <c r="CO79" s="2"/>
      <c r="CP79" s="2"/>
      <c r="CQ79" s="2"/>
      <c r="CR79" s="2"/>
      <c r="CS79" s="2"/>
      <c r="CW79" s="26" cm="1">
        <f t="array" ref="CW79:CY86">TRANSPOSE(CL80:CS82)</f>
        <v>-3.61747443939174</v>
      </c>
      <c r="CX79" s="27">
        <v>5.1000362091536164</v>
      </c>
      <c r="CY79" s="28">
        <v>-3.1618443826381566</v>
      </c>
      <c r="CZ79" s="2" t="s">
        <v>28</v>
      </c>
      <c r="DA79" s="6" cm="1">
        <f t="array" ref="DA79:DH86">MMULT(_xlfn.ANCHORARRAY(CW79),_xlfn.ANCHORARRAY(DA73)) / SQRT(3) + DA63:DH70</f>
        <v>24.916482473949102</v>
      </c>
      <c r="DB79" s="6">
        <v>-18.663641137608561</v>
      </c>
      <c r="DC79" s="6">
        <v>4.0918749991407273</v>
      </c>
      <c r="DD79" s="6">
        <v>-16.391824261798011</v>
      </c>
      <c r="DE79" s="6">
        <v>-4.3462345890425098</v>
      </c>
      <c r="DF79" s="6">
        <v>-26.523579359953587</v>
      </c>
      <c r="DG79" s="6">
        <v>-1.2422816934215988</v>
      </c>
      <c r="DH79" s="6">
        <v>-0.3143265200803001</v>
      </c>
      <c r="DK79" s="6" cm="1">
        <f t="array" ref="DK79:DK86">SOFTMAX(DA79:DA86)</f>
        <v>1</v>
      </c>
      <c r="DL79" s="6" cm="1">
        <f t="array" ref="DL79:DL86">SOFTMAX(DB79:DB86)</f>
        <v>9.5563828347787043E-22</v>
      </c>
      <c r="DM79" s="6" cm="1">
        <f t="array" ref="DM79:DM86">SOFTMAX(DC79:DC86)</f>
        <v>0.94872071920484291</v>
      </c>
      <c r="DN79" s="6" cm="1">
        <f t="array" ref="DN79:DN86">SOFTMAX(DD79:DD86)</f>
        <v>1.7738054279587668E-15</v>
      </c>
      <c r="DO79" s="6" cm="1">
        <f t="array" ref="DO79:DO86">SOFTMAX(DE79:DE86)</f>
        <v>4.7626874122333858E-8</v>
      </c>
      <c r="DP79" s="6" cm="1">
        <f t="array" ref="DP79:DP86">SOFTMAX(DF79:DF86)</f>
        <v>7.8246614753655402E-25</v>
      </c>
      <c r="DQ79" s="6" cm="1">
        <f t="array" ref="DQ79:DQ86">SOFTMAX(DG79:DG86)</f>
        <v>1.2682798625503578E-2</v>
      </c>
      <c r="DR79" s="6" cm="1">
        <f t="array" ref="DR79:DR86">SOFTMAX(DH79:DH86)</f>
        <v>5.4936217707014338E-2</v>
      </c>
    </row>
    <row r="80" spans="14:122" x14ac:dyDescent="0.5">
      <c r="N80" s="3">
        <v>0</v>
      </c>
      <c r="P80" s="16">
        <v>-1</v>
      </c>
      <c r="Q80" s="17">
        <v>-1</v>
      </c>
      <c r="R80" s="17">
        <v>1</v>
      </c>
      <c r="S80" s="17">
        <v>1</v>
      </c>
      <c r="T80" s="18">
        <v>1</v>
      </c>
      <c r="U80" s="2" t="s">
        <v>28</v>
      </c>
      <c r="Z80" s="6" cm="1">
        <f t="array" ref="Z80:AE85">MMULT(P80:T85,_xlfn.ANCHORARRAY(Z50))</f>
        <v>0.32337797438175686</v>
      </c>
      <c r="AA80" s="6">
        <v>1.884357616065778</v>
      </c>
      <c r="AB80" s="6">
        <v>3.0586317440413113</v>
      </c>
      <c r="AC80" s="6">
        <v>2.0396907804225304</v>
      </c>
      <c r="AD80" s="6">
        <v>1.0183409612205896</v>
      </c>
      <c r="AE80" s="6">
        <v>4.0077000545276347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Z80" s="3">
        <v>0</v>
      </c>
      <c r="CB80" s="16">
        <v>-1</v>
      </c>
      <c r="CC80" s="17">
        <v>-1</v>
      </c>
      <c r="CD80" s="17">
        <v>1</v>
      </c>
      <c r="CE80" s="17">
        <v>1</v>
      </c>
      <c r="CF80" s="17">
        <v>0</v>
      </c>
      <c r="CG80" s="18">
        <v>1</v>
      </c>
      <c r="CH80" s="2" t="s">
        <v>28</v>
      </c>
      <c r="CL80" s="6" cm="1">
        <f t="array" ref="CL80:CS88">MMULT($CB80:$CG88,CL52:CS57)</f>
        <v>-3.61747443939174</v>
      </c>
      <c r="CM80" s="6">
        <v>2.7911170068538995</v>
      </c>
      <c r="CN80" s="6">
        <v>0.94194011122132126</v>
      </c>
      <c r="CO80" s="6">
        <v>5.1243084438299249</v>
      </c>
      <c r="CP80" s="6">
        <v>0.9511351682066258</v>
      </c>
      <c r="CQ80" s="6">
        <v>5.7157238087562048</v>
      </c>
      <c r="CR80" s="6">
        <v>0.51231020235588942</v>
      </c>
      <c r="CS80" s="6">
        <v>0.35820721093753405</v>
      </c>
      <c r="CV80" s="2"/>
      <c r="CW80" s="26">
        <v>2.7911170068538995</v>
      </c>
      <c r="CX80" s="27">
        <v>-7.114555225572488</v>
      </c>
      <c r="CY80" s="28">
        <v>0.61374086086350776</v>
      </c>
      <c r="CZ80" s="2" t="s">
        <v>28</v>
      </c>
      <c r="DA80" s="7">
        <v>-119.03787421778024</v>
      </c>
      <c r="DB80" s="7">
        <v>29.736021617357963</v>
      </c>
      <c r="DC80" s="7">
        <v>0.94505216462146135</v>
      </c>
      <c r="DD80" s="7">
        <v>17.14357469494615</v>
      </c>
      <c r="DE80" s="7">
        <v>12.513621022293171</v>
      </c>
      <c r="DF80" s="7">
        <v>28.744861031733794</v>
      </c>
      <c r="DG80" s="7">
        <v>2.6794592257081016</v>
      </c>
      <c r="DH80" s="7">
        <v>1.762484648837322</v>
      </c>
      <c r="DK80" s="7">
        <v>3.0298228937202083E-63</v>
      </c>
      <c r="DL80" s="7">
        <v>1</v>
      </c>
      <c r="DM80" s="7">
        <v>4.0784072741688174E-2</v>
      </c>
      <c r="DN80" s="7">
        <v>0.65034633160393895</v>
      </c>
      <c r="DO80" s="7">
        <v>0.99998695879697042</v>
      </c>
      <c r="DP80" s="7">
        <v>0.78748854091482823</v>
      </c>
      <c r="DQ80" s="7">
        <v>0.64033248903874807</v>
      </c>
      <c r="DR80" s="7">
        <v>0.43833523886239495</v>
      </c>
    </row>
    <row r="81" spans="11:122" x14ac:dyDescent="0.5">
      <c r="P81" s="19">
        <v>1</v>
      </c>
      <c r="Q81" s="20">
        <v>-1</v>
      </c>
      <c r="R81" s="20">
        <v>-1</v>
      </c>
      <c r="S81" s="20">
        <v>0</v>
      </c>
      <c r="T81" s="21">
        <v>-1</v>
      </c>
      <c r="U81" s="2" t="s">
        <v>28</v>
      </c>
      <c r="Z81" s="7">
        <v>-1.7530388705855742</v>
      </c>
      <c r="AA81" s="7">
        <v>-0.91541418251036033</v>
      </c>
      <c r="AB81" s="7">
        <v>-7.060633265914551</v>
      </c>
      <c r="AC81" s="7">
        <v>-3.0398174918981158</v>
      </c>
      <c r="AD81" s="7">
        <v>-6.0183489604206217</v>
      </c>
      <c r="AE81" s="7">
        <v>-5.0077005592855102</v>
      </c>
      <c r="AF81"/>
      <c r="AG81"/>
      <c r="AH81" s="2"/>
      <c r="AI81" s="2"/>
      <c r="AJ81" s="2"/>
      <c r="AK81" s="2"/>
      <c r="AL81" s="2"/>
      <c r="AM81" s="2"/>
      <c r="AN81" s="2"/>
      <c r="AO81" s="2"/>
      <c r="AQ81" s="2"/>
      <c r="AR81" s="2"/>
      <c r="AS81"/>
      <c r="AT81"/>
      <c r="BC81"/>
      <c r="BD81"/>
      <c r="BE81"/>
      <c r="CB81" s="19">
        <v>1</v>
      </c>
      <c r="CC81" s="20">
        <v>-1</v>
      </c>
      <c r="CD81" s="20">
        <v>-1</v>
      </c>
      <c r="CE81" s="20">
        <v>0</v>
      </c>
      <c r="CF81" s="20">
        <v>1</v>
      </c>
      <c r="CG81" s="21">
        <v>-1</v>
      </c>
      <c r="CH81" s="2" t="s">
        <v>28</v>
      </c>
      <c r="CL81" s="7">
        <v>5.1000362091536164</v>
      </c>
      <c r="CM81" s="7">
        <v>-7.114555225572488</v>
      </c>
      <c r="CN81" s="7">
        <v>1.8190440759298037</v>
      </c>
      <c r="CO81" s="7">
        <v>-1.7268826794384557</v>
      </c>
      <c r="CP81" s="7">
        <v>0.76667516547308612</v>
      </c>
      <c r="CQ81" s="7">
        <v>-2.8460615661473039</v>
      </c>
      <c r="CR81" s="7">
        <v>0.42771072076402489</v>
      </c>
      <c r="CS81" s="7">
        <v>0.61418473540414942</v>
      </c>
      <c r="CV81" s="2"/>
      <c r="CW81" s="26">
        <v>0.94194011122132126</v>
      </c>
      <c r="CX81" s="27">
        <v>1.8190440759298037</v>
      </c>
      <c r="CY81" s="28">
        <v>0.35918650051909617</v>
      </c>
      <c r="CZ81" s="2" t="s">
        <v>28</v>
      </c>
      <c r="DA81" s="7">
        <v>-98.695126596944505</v>
      </c>
      <c r="DB81" s="7">
        <v>-104.93193960019583</v>
      </c>
      <c r="DC81" s="7">
        <v>-0.41232068946245437</v>
      </c>
      <c r="DD81" s="7">
        <v>0.38576464494632562</v>
      </c>
      <c r="DE81" s="7">
        <v>-3.3354635136575359</v>
      </c>
      <c r="DF81" s="7">
        <v>-1.7755831905004034</v>
      </c>
      <c r="DG81" s="7">
        <v>-0.41471209767446277</v>
      </c>
      <c r="DH81" s="7">
        <v>-0.35160000288998522</v>
      </c>
      <c r="DK81" s="7">
        <v>2.0709054990533283E-54</v>
      </c>
      <c r="DL81" s="7">
        <v>3.2692456463113719E-59</v>
      </c>
      <c r="DM81" s="7">
        <v>1.0495208053468871E-2</v>
      </c>
      <c r="DN81" s="7">
        <v>3.4302064669601904E-8</v>
      </c>
      <c r="DO81" s="7">
        <v>1.3086526202120761E-7</v>
      </c>
      <c r="DP81" s="7">
        <v>4.3790885979439565E-14</v>
      </c>
      <c r="DQ81" s="7">
        <v>2.9015095591551344E-2</v>
      </c>
      <c r="DR81" s="7">
        <v>5.2926245572811739E-2</v>
      </c>
    </row>
    <row r="82" spans="11:122" x14ac:dyDescent="0.5">
      <c r="P82" s="22">
        <v>-1</v>
      </c>
      <c r="Q82" s="23">
        <v>-1</v>
      </c>
      <c r="R82" s="23">
        <v>0</v>
      </c>
      <c r="S82" s="23">
        <v>0</v>
      </c>
      <c r="T82" s="24">
        <v>1</v>
      </c>
      <c r="U82" s="2" t="s">
        <v>28</v>
      </c>
      <c r="Z82" s="8">
        <v>-5.0440325123181466</v>
      </c>
      <c r="AA82" s="8">
        <v>-0.59705871837761082</v>
      </c>
      <c r="AB82" s="8">
        <v>-1.1732189722537205</v>
      </c>
      <c r="AC82" s="8">
        <v>-3.0577777421840517</v>
      </c>
      <c r="AD82" s="8">
        <v>-2.0211984067150324</v>
      </c>
      <c r="AE82" s="8">
        <v>-1.0081522399359679</v>
      </c>
      <c r="AF82"/>
      <c r="AG82"/>
      <c r="AH82" s="2"/>
      <c r="AI82" s="2"/>
      <c r="AJ82" s="2"/>
      <c r="AK82" s="2"/>
      <c r="AL82" s="2"/>
      <c r="AM82" s="3" t="s">
        <v>38</v>
      </c>
      <c r="AN82" s="2"/>
      <c r="AO82" s="2"/>
      <c r="AQ82" s="2"/>
      <c r="AR82" s="2"/>
      <c r="AS82"/>
      <c r="AT82"/>
      <c r="AW82" s="2" t="s">
        <v>27</v>
      </c>
      <c r="AX82" s="2" t="s">
        <v>27</v>
      </c>
      <c r="AY82" s="2" t="s">
        <v>27</v>
      </c>
      <c r="AZ82" s="2" t="s">
        <v>27</v>
      </c>
      <c r="BA82" s="2" t="s">
        <v>27</v>
      </c>
      <c r="BB82" s="2" t="s">
        <v>27</v>
      </c>
      <c r="BC82"/>
      <c r="BD82"/>
      <c r="BE82"/>
      <c r="CB82" s="22">
        <v>-1</v>
      </c>
      <c r="CC82" s="23">
        <v>-1</v>
      </c>
      <c r="CD82" s="23">
        <v>0</v>
      </c>
      <c r="CE82" s="23">
        <v>1</v>
      </c>
      <c r="CF82" s="23">
        <v>0</v>
      </c>
      <c r="CG82" s="24">
        <v>1</v>
      </c>
      <c r="CH82" s="2" t="s">
        <v>28</v>
      </c>
      <c r="CL82" s="8">
        <v>-3.1618443826381566</v>
      </c>
      <c r="CM82" s="8">
        <v>0.61374086086350776</v>
      </c>
      <c r="CN82" s="8">
        <v>0.35918650051909617</v>
      </c>
      <c r="CO82" s="8">
        <v>3.326009222464084</v>
      </c>
      <c r="CP82" s="8">
        <v>-0.95347171695551891</v>
      </c>
      <c r="CQ82" s="8">
        <v>3.7603873196305986</v>
      </c>
      <c r="CR82" s="8">
        <v>-0.466875258889136</v>
      </c>
      <c r="CS82" s="8">
        <v>-0.63211348819814095</v>
      </c>
      <c r="CV82" s="2"/>
      <c r="CW82" s="26">
        <v>5.1243084438299249</v>
      </c>
      <c r="CX82" s="27">
        <v>-1.7268826794384557</v>
      </c>
      <c r="CY82" s="28">
        <v>3.326009222464084</v>
      </c>
      <c r="CZ82" s="2" t="s">
        <v>28</v>
      </c>
      <c r="DA82" s="7">
        <v>-121.52700230935181</v>
      </c>
      <c r="DB82" s="7">
        <v>-90.753324266556902</v>
      </c>
      <c r="DC82" s="7">
        <v>-102.94536177362311</v>
      </c>
      <c r="DD82" s="7">
        <v>16.523012703716365</v>
      </c>
      <c r="DE82" s="7">
        <v>-0.95426760815927381</v>
      </c>
      <c r="DF82" s="7">
        <v>22.331999197218291</v>
      </c>
      <c r="DG82" s="7">
        <v>0.61559166553994549</v>
      </c>
      <c r="DH82" s="7">
        <v>-0.1506120670709005</v>
      </c>
      <c r="DK82" s="7">
        <v>2.5142163594985919E-64</v>
      </c>
      <c r="DL82" s="7">
        <v>4.7004772436799641E-53</v>
      </c>
      <c r="DM82" s="7">
        <v>3.1006810617800367E-47</v>
      </c>
      <c r="DN82" s="7">
        <v>0.34965363409399447</v>
      </c>
      <c r="DO82" s="7">
        <v>1.4156784501031921E-6</v>
      </c>
      <c r="DP82" s="7">
        <v>1.2917359157054123E-3</v>
      </c>
      <c r="DQ82" s="7">
        <v>8.1297884508362062E-2</v>
      </c>
      <c r="DR82" s="7">
        <v>6.4708158261287396E-2</v>
      </c>
    </row>
    <row r="83" spans="11:122" x14ac:dyDescent="0.5">
      <c r="N83" s="3">
        <v>1</v>
      </c>
      <c r="P83" s="16">
        <v>0</v>
      </c>
      <c r="Q83" s="17">
        <v>1</v>
      </c>
      <c r="R83" s="17">
        <v>-1</v>
      </c>
      <c r="S83" s="17">
        <v>-1</v>
      </c>
      <c r="T83" s="18">
        <v>1</v>
      </c>
      <c r="U83" s="2" t="s">
        <v>28</v>
      </c>
      <c r="Z83" s="6">
        <v>-1.0602196270121014</v>
      </c>
      <c r="AA83" s="6">
        <v>1.5323860746012929</v>
      </c>
      <c r="AB83" s="6">
        <v>1.8446540704245233</v>
      </c>
      <c r="AC83" s="6">
        <v>-5.5128528100493845E-2</v>
      </c>
      <c r="AD83" s="6">
        <v>1.9792095591526777</v>
      </c>
      <c r="AE83" s="6">
        <v>-1.0080883402876859</v>
      </c>
      <c r="AF83"/>
      <c r="AG83"/>
      <c r="AH83" s="2"/>
      <c r="AI83" s="2"/>
      <c r="AJ83" s="2"/>
      <c r="AM83" s="6" cm="1">
        <f t="array" ref="AM83:AR85">Z93:AE95</f>
        <v>6.861342848790029</v>
      </c>
      <c r="AN83" s="6">
        <v>7.1121906355790028</v>
      </c>
      <c r="AO83" s="6">
        <v>5.0923763075245603</v>
      </c>
      <c r="AP83" s="6">
        <v>7.0448624971140621</v>
      </c>
      <c r="AQ83" s="6">
        <v>4.0191488937559772</v>
      </c>
      <c r="AR83" s="6">
        <v>3.0078273490663245</v>
      </c>
      <c r="AS83"/>
      <c r="AT83"/>
      <c r="AV83" s="2" t="s">
        <v>28</v>
      </c>
      <c r="AW83" s="29" cm="1">
        <f t="array" ref="AW83:BB85">MMULT(_xlfn.ANCHORARRAY(AM83),AW73:BB78)</f>
        <v>6.8194519446457385</v>
      </c>
      <c r="AX83" s="29">
        <v>4.2386800815832935</v>
      </c>
      <c r="AY83" s="29">
        <v>5.0893291030970502</v>
      </c>
      <c r="AZ83" s="29">
        <v>4.9347145280551468</v>
      </c>
      <c r="BA83" s="29">
        <v>5.0672990199242403</v>
      </c>
      <c r="BB83" s="29">
        <v>5.0476049175407267</v>
      </c>
      <c r="BC83"/>
      <c r="BD83"/>
      <c r="BE83"/>
      <c r="BZ83" s="3">
        <v>1</v>
      </c>
      <c r="CB83" s="16">
        <v>0</v>
      </c>
      <c r="CC83" s="17">
        <v>1</v>
      </c>
      <c r="CD83" s="17">
        <v>-1</v>
      </c>
      <c r="CE83" s="17">
        <v>-1</v>
      </c>
      <c r="CF83" s="17">
        <v>0</v>
      </c>
      <c r="CG83" s="18">
        <v>1</v>
      </c>
      <c r="CH83" s="2" t="s">
        <v>28</v>
      </c>
      <c r="CL83" s="6">
        <v>0.21836339315431119</v>
      </c>
      <c r="CM83" s="6">
        <v>-0.98706136920333143</v>
      </c>
      <c r="CN83" s="6">
        <v>-0.99805907647119962</v>
      </c>
      <c r="CO83" s="6">
        <v>-2.1780520707516295</v>
      </c>
      <c r="CP83" s="6">
        <v>-0.39803895343070206</v>
      </c>
      <c r="CQ83" s="6">
        <v>-1.58144302724416</v>
      </c>
      <c r="CR83" s="6">
        <v>-0.71501875004430904</v>
      </c>
      <c r="CS83" s="6">
        <v>-0.80731165697696572</v>
      </c>
      <c r="CV83" s="2"/>
      <c r="CW83" s="26">
        <v>0.9511351682066258</v>
      </c>
      <c r="CX83" s="27">
        <v>0.76667516547308612</v>
      </c>
      <c r="CY83" s="28">
        <v>-0.95347171695551891</v>
      </c>
      <c r="CZ83" s="2" t="s">
        <v>28</v>
      </c>
      <c r="DA83" s="7">
        <v>-97.116018892197062</v>
      </c>
      <c r="DB83" s="7">
        <v>-98.473002338184912</v>
      </c>
      <c r="DC83" s="7">
        <v>-96.579597329805424</v>
      </c>
      <c r="DD83" s="7">
        <v>-96.921793509332588</v>
      </c>
      <c r="DE83" s="7">
        <v>1.1358540267726356</v>
      </c>
      <c r="DF83" s="7">
        <v>0.8436339445903891</v>
      </c>
      <c r="DG83" s="7">
        <v>0.45862129664032114</v>
      </c>
      <c r="DH83" s="7">
        <v>0.48738459311459553</v>
      </c>
      <c r="DI83" s="2"/>
      <c r="DK83" s="7">
        <v>1.0045187413979307E-53</v>
      </c>
      <c r="DL83" s="7">
        <v>2.0870284335414177E-56</v>
      </c>
      <c r="DM83" s="7">
        <v>1.8033227754874595E-44</v>
      </c>
      <c r="DN83" s="7">
        <v>1.8844503847102738E-50</v>
      </c>
      <c r="DO83" s="7">
        <v>1.1447032443354681E-5</v>
      </c>
      <c r="DP83" s="7">
        <v>6.0102879677825059E-13</v>
      </c>
      <c r="DQ83" s="7">
        <v>6.9487690828825402E-2</v>
      </c>
      <c r="DR83" s="7">
        <v>0.12247218554477829</v>
      </c>
    </row>
    <row r="84" spans="11:122" x14ac:dyDescent="0.5">
      <c r="P84" s="19">
        <v>0</v>
      </c>
      <c r="Q84" s="20">
        <v>1</v>
      </c>
      <c r="R84" s="20">
        <v>-1</v>
      </c>
      <c r="S84" s="20">
        <v>0</v>
      </c>
      <c r="T84" s="21">
        <v>0</v>
      </c>
      <c r="U84" s="2" t="s">
        <v>28</v>
      </c>
      <c r="Z84" s="7">
        <v>1.3470690059876487</v>
      </c>
      <c r="AA84" s="7">
        <v>-0.57738146334843865</v>
      </c>
      <c r="AB84" s="7">
        <v>1.1437182136439881</v>
      </c>
      <c r="AC84" s="7">
        <v>5.3054564080228239E-2</v>
      </c>
      <c r="AD84" s="7">
        <v>1.0204486329443456</v>
      </c>
      <c r="AE84" s="7">
        <v>-2.9919666213704064</v>
      </c>
      <c r="AF84"/>
      <c r="AG84"/>
      <c r="AH84" s="2"/>
      <c r="AM84" s="7">
        <v>6.714479492687552</v>
      </c>
      <c r="AN84" s="7">
        <v>1.9040348710949502</v>
      </c>
      <c r="AO84" s="7">
        <v>5.3755689299390195</v>
      </c>
      <c r="AP84" s="7">
        <v>5.1505230866868104</v>
      </c>
      <c r="AQ84" s="7">
        <v>4.0599880008799669</v>
      </c>
      <c r="AR84" s="7">
        <v>2.0238856730931962</v>
      </c>
      <c r="AS84"/>
      <c r="AT84"/>
      <c r="AV84" s="2" t="s">
        <v>28</v>
      </c>
      <c r="AW84" s="30">
        <v>6.6501160508333568</v>
      </c>
      <c r="AX84" s="30">
        <v>3.8599787447896623</v>
      </c>
      <c r="AY84" s="30">
        <v>5.3709520842277527</v>
      </c>
      <c r="AZ84" s="30">
        <v>5.1196537801091377</v>
      </c>
      <c r="BA84" s="30">
        <v>5.343922281662671</v>
      </c>
      <c r="BB84" s="30">
        <v>5.3038614856412085</v>
      </c>
      <c r="BC84"/>
      <c r="BD84"/>
      <c r="BE84"/>
      <c r="CB84" s="19">
        <v>0</v>
      </c>
      <c r="CC84" s="20">
        <v>1</v>
      </c>
      <c r="CD84" s="20">
        <v>0</v>
      </c>
      <c r="CE84" s="20">
        <v>1</v>
      </c>
      <c r="CF84" s="20">
        <v>0</v>
      </c>
      <c r="CG84" s="21">
        <v>0</v>
      </c>
      <c r="CH84" s="2" t="s">
        <v>28</v>
      </c>
      <c r="CL84" s="7">
        <v>2.3828950303754728</v>
      </c>
      <c r="CM84" s="7">
        <v>7.7600384764361596</v>
      </c>
      <c r="CN84" s="7">
        <v>5.5447078577022131</v>
      </c>
      <c r="CO84" s="7">
        <v>4.1766755477616577</v>
      </c>
      <c r="CP84" s="7">
        <v>4.8433269796994125</v>
      </c>
      <c r="CQ84" s="7">
        <v>4.5880876731037112</v>
      </c>
      <c r="CR84" s="7">
        <v>0.4049934025785773</v>
      </c>
      <c r="CS84" s="7">
        <v>0.27729722439934457</v>
      </c>
      <c r="CV84" s="2"/>
      <c r="CW84" s="26">
        <v>5.7157238087562048</v>
      </c>
      <c r="CX84" s="27">
        <v>-2.8460615661473039</v>
      </c>
      <c r="CY84" s="28">
        <v>3.7603873196305986</v>
      </c>
      <c r="CZ84" s="2" t="s">
        <v>28</v>
      </c>
      <c r="DA84" s="7">
        <v>-125.88796734742239</v>
      </c>
      <c r="DB84" s="7">
        <v>-86.482662439405246</v>
      </c>
      <c r="DC84" s="7">
        <v>-103.41492140060799</v>
      </c>
      <c r="DD84" s="7">
        <v>-79.41388453507173</v>
      </c>
      <c r="DE84" s="7">
        <v>-98.586225317083773</v>
      </c>
      <c r="DF84" s="7">
        <v>27.428911146047039</v>
      </c>
      <c r="DG84" s="7">
        <v>0.9385943922687493</v>
      </c>
      <c r="DH84" s="7">
        <v>-1.1483711430031976E-3</v>
      </c>
      <c r="DI84" s="2"/>
      <c r="DK84" s="7">
        <v>3.2096641844574227E-66</v>
      </c>
      <c r="DL84" s="7">
        <v>3.3640839120651581E-51</v>
      </c>
      <c r="DM84" s="7">
        <v>1.9387862980361957E-47</v>
      </c>
      <c r="DN84" s="7">
        <v>7.564373502844542E-43</v>
      </c>
      <c r="DO84" s="7">
        <v>5.6226898817326736E-49</v>
      </c>
      <c r="DP84" s="7">
        <v>0.21121972316882162</v>
      </c>
      <c r="DQ84" s="7">
        <v>0.11229425716889617</v>
      </c>
      <c r="DR84" s="7">
        <v>7.51398454388882E-2</v>
      </c>
    </row>
    <row r="85" spans="11:122" x14ac:dyDescent="0.5">
      <c r="P85" s="22">
        <v>-1</v>
      </c>
      <c r="Q85" s="23">
        <v>1</v>
      </c>
      <c r="R85" s="23">
        <v>0</v>
      </c>
      <c r="S85" s="23">
        <v>-1</v>
      </c>
      <c r="T85" s="24">
        <v>0</v>
      </c>
      <c r="U85" s="2" t="s">
        <v>28</v>
      </c>
      <c r="Z85" s="8">
        <v>-5.2068490128383411</v>
      </c>
      <c r="AA85" s="8">
        <v>-5.2681074151311993</v>
      </c>
      <c r="AB85" s="8">
        <v>-0.12186541982928301</v>
      </c>
      <c r="AC85" s="8">
        <v>-5.0497744258270902</v>
      </c>
      <c r="AD85" s="8">
        <v>0.98005933209003349</v>
      </c>
      <c r="AE85" s="8">
        <v>-3.0079536300703191</v>
      </c>
      <c r="AF85"/>
      <c r="AG85"/>
      <c r="AH85" s="2"/>
      <c r="AM85" s="8">
        <v>-1.6750692869401802</v>
      </c>
      <c r="AN85" s="8">
        <v>-3.3105432929911922</v>
      </c>
      <c r="AO85" s="8">
        <v>-5.8089312776780542</v>
      </c>
      <c r="AP85" s="8">
        <v>-3.9391955425139802</v>
      </c>
      <c r="AQ85" s="8">
        <v>-5.9783096266506526</v>
      </c>
      <c r="AR85" s="8">
        <v>-6.9917690210205077</v>
      </c>
      <c r="AS85"/>
      <c r="AT85"/>
      <c r="AV85" s="2" t="s">
        <v>28</v>
      </c>
      <c r="AW85" s="31">
        <v>-1.7830463131539429</v>
      </c>
      <c r="AX85" s="31">
        <v>-6.2244433052342245</v>
      </c>
      <c r="AY85" s="31">
        <v>-5.8103571084655989</v>
      </c>
      <c r="AZ85" s="31">
        <v>-5.8592909820500543</v>
      </c>
      <c r="BA85" s="31">
        <v>-5.8138419237330465</v>
      </c>
      <c r="BB85" s="31">
        <v>-5.8340258464048</v>
      </c>
      <c r="BC85"/>
      <c r="BD85"/>
      <c r="BE85"/>
      <c r="CB85" s="22">
        <v>0</v>
      </c>
      <c r="CC85" s="23">
        <v>1</v>
      </c>
      <c r="CD85" s="23">
        <v>1</v>
      </c>
      <c r="CE85" s="23">
        <v>0</v>
      </c>
      <c r="CF85" s="23">
        <v>-1</v>
      </c>
      <c r="CG85" s="24">
        <v>0</v>
      </c>
      <c r="CH85" s="2" t="s">
        <v>28</v>
      </c>
      <c r="CL85" s="8">
        <v>-1.5121008730796892</v>
      </c>
      <c r="CM85" s="8">
        <v>6.6596266193784821</v>
      </c>
      <c r="CN85" s="8">
        <v>0.18422304682272683</v>
      </c>
      <c r="CO85" s="8">
        <v>1.7421953354844038</v>
      </c>
      <c r="CP85" s="8">
        <v>0.45140030344883542</v>
      </c>
      <c r="CQ85" s="8">
        <v>1.2764232580302943</v>
      </c>
      <c r="CR85" s="8">
        <v>0.17248360464290324</v>
      </c>
      <c r="CS85" s="8">
        <v>0.10982897563588145</v>
      </c>
      <c r="CV85" s="2"/>
      <c r="CW85" s="26">
        <v>0.51231020235588942</v>
      </c>
      <c r="CX85" s="27">
        <v>0.42771072076402489</v>
      </c>
      <c r="CY85" s="28">
        <v>-0.466875258889136</v>
      </c>
      <c r="CZ85" s="2" t="s">
        <v>28</v>
      </c>
      <c r="DA85" s="7">
        <v>-98.082218545519311</v>
      </c>
      <c r="DB85" s="7">
        <v>-98.861143159895178</v>
      </c>
      <c r="DC85" s="7">
        <v>-97.794650830587003</v>
      </c>
      <c r="DD85" s="7">
        <v>-97.911036420436318</v>
      </c>
      <c r="DE85" s="7">
        <v>-98.508103059096626</v>
      </c>
      <c r="DF85" s="7">
        <v>-98.57583568224382</v>
      </c>
      <c r="DG85" s="7">
        <v>0.22279892188115333</v>
      </c>
      <c r="DH85" s="7">
        <v>0.23744421113379816</v>
      </c>
      <c r="DK85" s="7">
        <v>3.8224592653213984E-54</v>
      </c>
      <c r="DL85" s="7">
        <v>1.4156664794453181E-56</v>
      </c>
      <c r="DM85" s="7">
        <v>5.3503530091915159E-45</v>
      </c>
      <c r="DN85" s="7">
        <v>7.0074816622358878E-51</v>
      </c>
      <c r="DO85" s="7">
        <v>6.0795606632318352E-49</v>
      </c>
      <c r="DP85" s="7">
        <v>3.9954732552077052E-56</v>
      </c>
      <c r="DQ85" s="7">
        <v>5.4889784238113484E-2</v>
      </c>
      <c r="DR85" s="7">
        <v>9.538712062841477E-2</v>
      </c>
    </row>
    <row r="86" spans="11:122" x14ac:dyDescent="0.5">
      <c r="K86"/>
      <c r="L86"/>
      <c r="M86"/>
      <c r="N86"/>
      <c r="O86"/>
      <c r="P86"/>
      <c r="Q86"/>
      <c r="R86"/>
      <c r="S86"/>
      <c r="T86"/>
      <c r="U86"/>
      <c r="W86"/>
      <c r="X86"/>
      <c r="Y86"/>
      <c r="Z86"/>
      <c r="AA86"/>
      <c r="AB86"/>
      <c r="AC86"/>
      <c r="AD86"/>
      <c r="AE86"/>
      <c r="AF86"/>
      <c r="AG86"/>
      <c r="AH86" s="2"/>
      <c r="AS86"/>
      <c r="AT86"/>
      <c r="BC86"/>
      <c r="BD86"/>
      <c r="BE86"/>
      <c r="BZ86" s="3">
        <v>2</v>
      </c>
      <c r="CB86" s="16">
        <v>1</v>
      </c>
      <c r="CC86" s="17">
        <v>0</v>
      </c>
      <c r="CD86" s="17">
        <v>1</v>
      </c>
      <c r="CE86" s="17">
        <v>0</v>
      </c>
      <c r="CF86" s="17">
        <v>0</v>
      </c>
      <c r="CG86" s="18">
        <v>-1</v>
      </c>
      <c r="CH86" s="2" t="s">
        <v>28</v>
      </c>
      <c r="CL86" s="6">
        <v>3.132305279320343</v>
      </c>
      <c r="CM86" s="6">
        <v>1.722447539796385</v>
      </c>
      <c r="CN86" s="6">
        <v>2.586020733454756</v>
      </c>
      <c r="CO86" s="6">
        <v>1.8136118774117893</v>
      </c>
      <c r="CP86" s="6">
        <v>3.1226823540840667</v>
      </c>
      <c r="CQ86" s="6">
        <v>0.38569818100859665</v>
      </c>
      <c r="CR86" s="6">
        <v>1.5793797866519537</v>
      </c>
      <c r="CS86" s="6">
        <v>1.7143344101757059</v>
      </c>
      <c r="CV86" s="2"/>
      <c r="CW86" s="26">
        <v>0.35820721093753405</v>
      </c>
      <c r="CX86" s="27">
        <v>0.61418473540414942</v>
      </c>
      <c r="CY86" s="28">
        <v>-0.63211348819814095</v>
      </c>
      <c r="CZ86" s="2" t="s">
        <v>28</v>
      </c>
      <c r="DA86" s="8">
        <v>-96.994738638653587</v>
      </c>
      <c r="DB86" s="8">
        <v>-99.482866559603806</v>
      </c>
      <c r="DC86" s="8">
        <v>-97.553918546611726</v>
      </c>
      <c r="DD86" s="8">
        <v>-98.562571223875452</v>
      </c>
      <c r="DE86" s="8">
        <v>-98.578503304644769</v>
      </c>
      <c r="DF86" s="8">
        <v>-99.628313629375654</v>
      </c>
      <c r="DG86" s="8">
        <v>-98.807991222649022</v>
      </c>
      <c r="DH86" s="8">
        <v>0.24483780613613124</v>
      </c>
      <c r="DK86" s="8">
        <v>1.1340426514222502E-53</v>
      </c>
      <c r="DL86" s="8">
        <v>7.6023858350988595E-57</v>
      </c>
      <c r="DM86" s="8">
        <v>6.8066142668643814E-45</v>
      </c>
      <c r="DN86" s="8">
        <v>3.6526158558309499E-51</v>
      </c>
      <c r="DO86" s="8">
        <v>5.6662764343039124E-49</v>
      </c>
      <c r="DP86" s="8">
        <v>1.3947066228422775E-56</v>
      </c>
      <c r="DQ86" s="8">
        <v>5.3822742772828031E-45</v>
      </c>
      <c r="DR86" s="8">
        <v>9.6094987984410379E-2</v>
      </c>
    </row>
    <row r="87" spans="11:122" x14ac:dyDescent="0.5">
      <c r="K87"/>
      <c r="L87"/>
      <c r="M87"/>
      <c r="N87"/>
      <c r="O87"/>
      <c r="P87"/>
      <c r="Q87"/>
      <c r="R87"/>
      <c r="S87"/>
      <c r="T87"/>
      <c r="U87"/>
      <c r="W87"/>
      <c r="X87"/>
      <c r="Y87"/>
      <c r="Z87"/>
      <c r="AA87"/>
      <c r="AB87"/>
      <c r="AC87"/>
      <c r="AD87"/>
      <c r="AE87"/>
      <c r="AF87"/>
      <c r="AG87"/>
      <c r="AH87" s="2"/>
      <c r="AS87"/>
      <c r="AT87"/>
      <c r="BC87"/>
      <c r="BD87"/>
      <c r="BE87"/>
      <c r="CB87" s="19">
        <v>0</v>
      </c>
      <c r="CC87" s="20">
        <v>1</v>
      </c>
      <c r="CD87" s="20">
        <v>0</v>
      </c>
      <c r="CE87" s="20">
        <v>1</v>
      </c>
      <c r="CF87" s="20">
        <v>0</v>
      </c>
      <c r="CG87" s="21">
        <v>1</v>
      </c>
      <c r="CH87" s="2" t="s">
        <v>28</v>
      </c>
      <c r="CL87" s="7">
        <v>2.5717193202119706</v>
      </c>
      <c r="CM87" s="7">
        <v>9.1091655078927207</v>
      </c>
      <c r="CN87" s="7">
        <v>7.4918560152048652</v>
      </c>
      <c r="CO87" s="7">
        <v>7.1382445768859011</v>
      </c>
      <c r="CP87" s="7">
        <v>6.6144986633972582</v>
      </c>
      <c r="CQ87" s="7">
        <v>7.1527301464987465</v>
      </c>
      <c r="CR87" s="7">
        <v>0.80247918029708609</v>
      </c>
      <c r="CS87" s="7">
        <v>0.55220648939994399</v>
      </c>
      <c r="CV87" s="2"/>
      <c r="CW87" s="2"/>
      <c r="CX87" s="2"/>
      <c r="CY87" s="2"/>
      <c r="CZ87" s="2"/>
      <c r="DA87" s="2"/>
      <c r="DB87" s="2"/>
      <c r="DC87" s="2"/>
      <c r="DE87" s="2"/>
      <c r="DF87" s="2"/>
      <c r="DG87" s="2"/>
      <c r="DH87" s="2"/>
    </row>
    <row r="88" spans="11:122" x14ac:dyDescent="0.5">
      <c r="K88"/>
      <c r="L88"/>
      <c r="M88"/>
      <c r="N88"/>
      <c r="O88"/>
      <c r="P88"/>
      <c r="Q88"/>
      <c r="R88"/>
      <c r="S88"/>
      <c r="T88"/>
      <c r="U88"/>
      <c r="W88"/>
      <c r="X88"/>
      <c r="Y88"/>
      <c r="Z88"/>
      <c r="AA88"/>
      <c r="AB88"/>
      <c r="AC88"/>
      <c r="AD88"/>
      <c r="AE88"/>
      <c r="AF88"/>
      <c r="AG88"/>
      <c r="AH88" s="2"/>
      <c r="AS88"/>
      <c r="AT88"/>
      <c r="BC88"/>
      <c r="BD88"/>
      <c r="BE88"/>
      <c r="CB88" s="22">
        <v>0</v>
      </c>
      <c r="CC88" s="23">
        <v>0</v>
      </c>
      <c r="CD88" s="23">
        <v>1</v>
      </c>
      <c r="CE88" s="23">
        <v>-1</v>
      </c>
      <c r="CF88" s="23">
        <v>0</v>
      </c>
      <c r="CG88" s="24">
        <v>1</v>
      </c>
      <c r="CH88" s="2" t="s">
        <v>28</v>
      </c>
      <c r="CL88" s="8">
        <v>-1.6712987588227066</v>
      </c>
      <c r="CM88" s="8">
        <v>-0.4329221881058769</v>
      </c>
      <c r="CN88" s="8">
        <v>-1.4236789722820431</v>
      </c>
      <c r="CO88" s="8">
        <v>1.0008695373542396</v>
      </c>
      <c r="CP88" s="8">
        <v>1.1218132030270822</v>
      </c>
      <c r="CQ88" s="8">
        <v>1.1305606202119909</v>
      </c>
      <c r="CR88" s="8">
        <v>1.1075150044153494</v>
      </c>
      <c r="CS88" s="8">
        <v>1.0806312405156571</v>
      </c>
      <c r="CV88" s="2"/>
      <c r="CW88" s="2"/>
      <c r="CX88" s="2"/>
      <c r="CY88" s="2"/>
      <c r="CZ88" s="2"/>
      <c r="DA88" s="3" t="s">
        <v>38</v>
      </c>
      <c r="DB88" s="2"/>
      <c r="DC88" s="2"/>
      <c r="DE88" s="2"/>
      <c r="DF88" s="2"/>
      <c r="DG88" s="2"/>
      <c r="DH88" s="2"/>
      <c r="DK88" s="2" t="s">
        <v>27</v>
      </c>
      <c r="DL88" s="2" t="s">
        <v>27</v>
      </c>
      <c r="DM88" s="2" t="s">
        <v>27</v>
      </c>
      <c r="DN88" s="2" t="s">
        <v>27</v>
      </c>
      <c r="DO88" s="2" t="s">
        <v>27</v>
      </c>
      <c r="DP88" s="2" t="s">
        <v>27</v>
      </c>
      <c r="DQ88" s="2" t="s">
        <v>27</v>
      </c>
      <c r="DR88" s="2" t="s">
        <v>27</v>
      </c>
    </row>
    <row r="89" spans="11:122" x14ac:dyDescent="0.5">
      <c r="K89"/>
      <c r="L89"/>
      <c r="M89"/>
      <c r="N89"/>
      <c r="O89"/>
      <c r="P89"/>
      <c r="Q89"/>
      <c r="R89"/>
      <c r="S89"/>
      <c r="T89"/>
      <c r="U89"/>
      <c r="W89"/>
      <c r="X89"/>
      <c r="Y89"/>
      <c r="Z89"/>
      <c r="AA89"/>
      <c r="AB89"/>
      <c r="AC89"/>
      <c r="AD89"/>
      <c r="AE89"/>
      <c r="AF89"/>
      <c r="AG89"/>
      <c r="AH89" s="25"/>
      <c r="AS89"/>
      <c r="AT89"/>
      <c r="BC89"/>
      <c r="BD89"/>
      <c r="BE89"/>
      <c r="CV89" s="2"/>
      <c r="CW89" s="2"/>
      <c r="CX89" s="2"/>
      <c r="DA89" s="6" cm="1">
        <f t="array" ref="DA89:DH91">CL93:CS95</f>
        <v>7.4344888657663137</v>
      </c>
      <c r="DB89" s="6">
        <v>3.1849250591072931</v>
      </c>
      <c r="DC89" s="6">
        <v>8.8955946253656926</v>
      </c>
      <c r="DD89" s="6">
        <v>5.0316090480616564</v>
      </c>
      <c r="DE89" s="6">
        <v>8.8877417606017861</v>
      </c>
      <c r="DF89" s="6">
        <v>4.6805620422328893</v>
      </c>
      <c r="DG89" s="6">
        <v>1.4943566122618277</v>
      </c>
      <c r="DH89" s="6">
        <v>1.3494002669628027</v>
      </c>
      <c r="DJ89" s="2" t="s">
        <v>28</v>
      </c>
      <c r="DK89" s="29" cm="1">
        <f t="array" ref="DK89:DR91">MMULT(_xlfn.ANCHORARRAY(DA89),DK79:DR86)</f>
        <v>7.4344888657663137</v>
      </c>
      <c r="DL89" s="29">
        <v>3.1849250591072931</v>
      </c>
      <c r="DM89" s="29">
        <v>7.276508955290204</v>
      </c>
      <c r="DN89" s="29">
        <v>3.830625022756144</v>
      </c>
      <c r="DO89" s="29">
        <v>3.184993903467531</v>
      </c>
      <c r="DP89" s="29">
        <v>3.5032185166813017</v>
      </c>
      <c r="DQ89" s="29">
        <v>4.0260806166618002</v>
      </c>
      <c r="DR89" s="29">
        <v>4.3132950089365645</v>
      </c>
    </row>
    <row r="90" spans="11:122" x14ac:dyDescent="0.5">
      <c r="AF90"/>
      <c r="AG90"/>
      <c r="AH90" s="3" t="s">
        <v>30</v>
      </c>
      <c r="AS90"/>
      <c r="AT90"/>
      <c r="BC90"/>
      <c r="BD90"/>
      <c r="BE90"/>
      <c r="CV90" s="2"/>
      <c r="DA90" s="7">
        <v>2.3828950303754728</v>
      </c>
      <c r="DB90" s="7">
        <v>7.7600384764361596</v>
      </c>
      <c r="DC90" s="7">
        <v>5.5447078577022131</v>
      </c>
      <c r="DD90" s="7">
        <v>4.1766755477616577</v>
      </c>
      <c r="DE90" s="7">
        <v>4.8433269796994125</v>
      </c>
      <c r="DF90" s="7">
        <v>4.5880876731037112</v>
      </c>
      <c r="DG90" s="7">
        <v>0.4049934025785773</v>
      </c>
      <c r="DH90" s="7">
        <v>0.27729722439934457</v>
      </c>
      <c r="DJ90" s="2" t="s">
        <v>28</v>
      </c>
      <c r="DK90" s="30">
        <v>2.3828950303754728</v>
      </c>
      <c r="DL90" s="30">
        <v>7.7600384764361596</v>
      </c>
      <c r="DM90" s="30">
        <v>2.635380723271024</v>
      </c>
      <c r="DN90" s="30">
        <v>6.5071025301569962</v>
      </c>
      <c r="DO90" s="30">
        <v>7.7599994698489958</v>
      </c>
      <c r="DP90" s="30">
        <v>7.0854311472553331</v>
      </c>
      <c r="DQ90" s="30">
        <v>6.3736591506086784</v>
      </c>
      <c r="DR90" s="30">
        <v>5.0993301784896437</v>
      </c>
    </row>
    <row r="91" spans="11:122" x14ac:dyDescent="0.5">
      <c r="P91" s="2"/>
      <c r="Q91" s="2"/>
      <c r="R91" s="2"/>
      <c r="S91" s="2"/>
      <c r="T91" s="2"/>
      <c r="U91" s="2"/>
      <c r="AA91" s="2"/>
      <c r="AB91" s="2"/>
      <c r="AC91" s="2"/>
      <c r="AF91"/>
      <c r="AG91"/>
      <c r="AH91" s="2">
        <v>1</v>
      </c>
      <c r="AJ91" s="2"/>
      <c r="AM91" s="2" t="s">
        <v>33</v>
      </c>
      <c r="AS91"/>
      <c r="AT91"/>
      <c r="CB91" s="2"/>
      <c r="CC91" s="2"/>
      <c r="CD91" s="2"/>
      <c r="CE91" s="2"/>
      <c r="CF91" s="2"/>
      <c r="CG91" s="2"/>
      <c r="CH91" s="2"/>
      <c r="CM91" s="2"/>
      <c r="CN91" s="2"/>
      <c r="CO91" s="2"/>
      <c r="CV91" s="2"/>
      <c r="DA91" s="8">
        <v>2.4609638082317273</v>
      </c>
      <c r="DB91" s="8">
        <v>-0.52282510783525948</v>
      </c>
      <c r="DC91" s="8">
        <v>4.3521113043664172</v>
      </c>
      <c r="DD91" s="8">
        <v>3.8151025990172815</v>
      </c>
      <c r="DE91" s="8">
        <v>4.0071719475462171</v>
      </c>
      <c r="DF91" s="8">
        <v>4.0683315734039613</v>
      </c>
      <c r="DG91" s="8">
        <v>1.0758580911503071</v>
      </c>
      <c r="DH91" s="8">
        <v>1.0650904471204108</v>
      </c>
      <c r="DJ91" s="2" t="s">
        <v>28</v>
      </c>
      <c r="DK91" s="31">
        <v>2.4609638082317273</v>
      </c>
      <c r="DL91" s="31">
        <v>-0.52282510783525948</v>
      </c>
      <c r="DM91" s="31">
        <v>2.3591207304647388</v>
      </c>
      <c r="DN91" s="31">
        <v>0.99394724652314892</v>
      </c>
      <c r="DO91" s="31">
        <v>-0.52276633163285546</v>
      </c>
      <c r="DP91" s="31">
        <v>0.45252119242238559</v>
      </c>
      <c r="DQ91" s="31">
        <v>0.9272197176113407</v>
      </c>
      <c r="DR91" s="31">
        <v>1.3846663205546315</v>
      </c>
    </row>
    <row r="92" spans="11:122" x14ac:dyDescent="0.5">
      <c r="P92" s="91" t="s">
        <v>39</v>
      </c>
      <c r="Q92" s="2"/>
      <c r="R92" s="2"/>
      <c r="S92" s="2"/>
      <c r="T92" s="2"/>
      <c r="U92" s="2"/>
      <c r="Z92" s="2" t="s">
        <v>38</v>
      </c>
      <c r="AA92" s="2"/>
      <c r="AB92" s="2"/>
      <c r="AC92" s="2"/>
      <c r="AD92" s="2"/>
      <c r="AE92" s="2"/>
      <c r="AF92"/>
      <c r="AG92"/>
      <c r="AH92" s="2"/>
      <c r="AI92" s="2"/>
      <c r="AJ92" s="2"/>
      <c r="AL92" s="2"/>
      <c r="AM92" s="6" cm="1">
        <f t="array" ref="AM92:AR94">Z70:AE72</f>
        <v>9.6746013463877052</v>
      </c>
      <c r="AN92" s="6">
        <v>6.4952187434880706</v>
      </c>
      <c r="AO92" s="6">
        <v>10.308355503014587</v>
      </c>
      <c r="AP92" s="6">
        <v>10.139808517112671</v>
      </c>
      <c r="AQ92" s="6">
        <v>8.058288295023921</v>
      </c>
      <c r="AR92" s="6">
        <v>9.0236162486395202</v>
      </c>
      <c r="AS92"/>
      <c r="AT92"/>
      <c r="CB92" s="91" t="s">
        <v>39</v>
      </c>
      <c r="CC92" s="2"/>
      <c r="CD92" s="2"/>
      <c r="CE92" s="2"/>
      <c r="CF92" s="2"/>
      <c r="CG92" s="2"/>
      <c r="CH92" s="2"/>
      <c r="CL92" s="2" t="s">
        <v>38</v>
      </c>
      <c r="CM92" s="2"/>
      <c r="CN92" s="2"/>
      <c r="CO92" s="2"/>
      <c r="CP92" s="2"/>
      <c r="CQ92" s="2"/>
      <c r="CR92" s="2"/>
      <c r="CS92" s="2"/>
    </row>
    <row r="93" spans="11:122" x14ac:dyDescent="0.5">
      <c r="N93" s="3">
        <v>0</v>
      </c>
      <c r="P93" s="16">
        <v>1</v>
      </c>
      <c r="Q93" s="17">
        <v>1</v>
      </c>
      <c r="R93" s="17">
        <v>-1</v>
      </c>
      <c r="S93" s="17">
        <v>0</v>
      </c>
      <c r="T93" s="18">
        <v>1</v>
      </c>
      <c r="U93" s="2" t="s">
        <v>28</v>
      </c>
      <c r="Z93" s="6" cm="1">
        <f t="array" ref="Z93:AE98">MMULT(P93:T98,_xlfn.ANCHORARRAY(Z50))</f>
        <v>6.861342848790029</v>
      </c>
      <c r="AA93" s="6">
        <v>7.1121906355790028</v>
      </c>
      <c r="AB93" s="6">
        <v>5.0923763075245603</v>
      </c>
      <c r="AC93" s="6">
        <v>7.0448624971140621</v>
      </c>
      <c r="AD93" s="6">
        <v>4.0191488937559772</v>
      </c>
      <c r="AE93" s="6">
        <v>3.0078273490663245</v>
      </c>
      <c r="AF93"/>
      <c r="AG93"/>
      <c r="AH93" s="2"/>
      <c r="AI93" s="2"/>
      <c r="AJ93" s="2"/>
      <c r="AL93" s="2"/>
      <c r="AM93" s="7">
        <v>6.9393124324354236</v>
      </c>
      <c r="AN93" s="7">
        <v>4.7170615250981713</v>
      </c>
      <c r="AO93" s="7">
        <v>6.3440782957610571</v>
      </c>
      <c r="AP93" s="7">
        <v>6.1454844464981973</v>
      </c>
      <c r="AQ93" s="7">
        <v>4.0591882275259463</v>
      </c>
      <c r="AR93" s="7">
        <v>1.0237588873313261</v>
      </c>
      <c r="AS93"/>
      <c r="AT93"/>
      <c r="BZ93" s="3">
        <v>0</v>
      </c>
      <c r="CB93" s="16">
        <v>1</v>
      </c>
      <c r="CC93" s="17">
        <v>1</v>
      </c>
      <c r="CD93" s="17">
        <v>-1</v>
      </c>
      <c r="CE93" s="17">
        <v>0</v>
      </c>
      <c r="CF93" s="17">
        <v>1</v>
      </c>
      <c r="CG93" s="18">
        <v>1</v>
      </c>
      <c r="CH93" s="2" t="s">
        <v>28</v>
      </c>
      <c r="CL93" s="6" cm="1">
        <f t="array" ref="CL93:CS101">MMULT($CB93:$CG101,CL52:CS57)</f>
        <v>7.4344888657663137</v>
      </c>
      <c r="CM93" s="6">
        <v>3.1849250591072931</v>
      </c>
      <c r="CN93" s="6">
        <v>8.8955946253656926</v>
      </c>
      <c r="CO93" s="6">
        <v>5.0316090480616564</v>
      </c>
      <c r="CP93" s="6">
        <v>8.8877417606017861</v>
      </c>
      <c r="CQ93" s="6">
        <v>4.6805620422328893</v>
      </c>
      <c r="CR93" s="6">
        <v>1.4943566122618277</v>
      </c>
      <c r="CS93" s="6">
        <v>1.3494002669628027</v>
      </c>
      <c r="CV93" s="3" t="s">
        <v>30</v>
      </c>
    </row>
    <row r="94" spans="11:122" x14ac:dyDescent="0.5">
      <c r="P94" s="19">
        <v>0</v>
      </c>
      <c r="Q94" s="20">
        <v>1</v>
      </c>
      <c r="R94" s="20">
        <v>0</v>
      </c>
      <c r="S94" s="20">
        <v>1</v>
      </c>
      <c r="T94" s="21">
        <v>0</v>
      </c>
      <c r="U94" s="2" t="s">
        <v>28</v>
      </c>
      <c r="Z94" s="7">
        <v>6.714479492687552</v>
      </c>
      <c r="AA94" s="7">
        <v>1.9040348710949502</v>
      </c>
      <c r="AB94" s="7">
        <v>5.3755689299390195</v>
      </c>
      <c r="AC94" s="7">
        <v>5.1505230866868104</v>
      </c>
      <c r="AD94" s="7">
        <v>4.0599880008799669</v>
      </c>
      <c r="AE94" s="7">
        <v>2.0238856730931962</v>
      </c>
      <c r="AF94"/>
      <c r="AG94"/>
      <c r="AH94" s="2"/>
      <c r="AI94" s="2"/>
      <c r="AJ94" s="2"/>
      <c r="AL94" s="2"/>
      <c r="AM94" s="8">
        <v>-5.2068490128383411</v>
      </c>
      <c r="AN94" s="8">
        <v>-5.2681074151311993</v>
      </c>
      <c r="AO94" s="8">
        <v>-0.12186541982928301</v>
      </c>
      <c r="AP94" s="8">
        <v>-5.0497744258270902</v>
      </c>
      <c r="AQ94" s="8">
        <v>0.98005933209003349</v>
      </c>
      <c r="AR94" s="8">
        <v>-3.0079536300703191</v>
      </c>
      <c r="AS94"/>
      <c r="AT94"/>
      <c r="CB94" s="19">
        <v>0</v>
      </c>
      <c r="CC94" s="20">
        <v>1</v>
      </c>
      <c r="CD94" s="20">
        <v>0</v>
      </c>
      <c r="CE94" s="20">
        <v>1</v>
      </c>
      <c r="CF94" s="20">
        <v>0</v>
      </c>
      <c r="CG94" s="21">
        <v>0</v>
      </c>
      <c r="CH94" s="2" t="s">
        <v>28</v>
      </c>
      <c r="CL94" s="7">
        <v>2.3828950303754728</v>
      </c>
      <c r="CM94" s="7">
        <v>7.7600384764361596</v>
      </c>
      <c r="CN94" s="7">
        <v>5.5447078577022131</v>
      </c>
      <c r="CO94" s="7">
        <v>4.1766755477616577</v>
      </c>
      <c r="CP94" s="7">
        <v>4.8433269796994125</v>
      </c>
      <c r="CQ94" s="7">
        <v>4.5880876731037112</v>
      </c>
      <c r="CR94" s="7">
        <v>0.4049934025785773</v>
      </c>
      <c r="CS94" s="7">
        <v>0.27729722439934457</v>
      </c>
      <c r="CV94" s="2">
        <v>1</v>
      </c>
      <c r="CX94" s="2"/>
      <c r="DA94" s="2" t="s">
        <v>33</v>
      </c>
    </row>
    <row r="95" spans="11:122" x14ac:dyDescent="0.5">
      <c r="P95" s="22">
        <v>0</v>
      </c>
      <c r="Q95" s="23">
        <v>-1</v>
      </c>
      <c r="R95" s="23">
        <v>-1</v>
      </c>
      <c r="S95" s="23">
        <v>1</v>
      </c>
      <c r="T95" s="24">
        <v>-1</v>
      </c>
      <c r="U95" s="2" t="s">
        <v>28</v>
      </c>
      <c r="Z95" s="8">
        <v>-1.6750692869401802</v>
      </c>
      <c r="AA95" s="8">
        <v>-3.3105432929911922</v>
      </c>
      <c r="AB95" s="8">
        <v>-5.8089312776780542</v>
      </c>
      <c r="AC95" s="8">
        <v>-3.9391955425139802</v>
      </c>
      <c r="AD95" s="8">
        <v>-5.9783096266506526</v>
      </c>
      <c r="AE95" s="8">
        <v>-6.9917690210205077</v>
      </c>
      <c r="AF95"/>
      <c r="AG95"/>
      <c r="AH95" s="2"/>
      <c r="AI95" s="2"/>
      <c r="AJ95" s="2"/>
      <c r="AL95" s="2"/>
      <c r="AM95" s="2"/>
      <c r="AN95" s="2"/>
      <c r="AO95" s="2"/>
      <c r="AP95" s="2"/>
      <c r="AS95"/>
      <c r="AT95"/>
      <c r="BC95"/>
      <c r="BD95"/>
      <c r="CB95" s="22">
        <v>0</v>
      </c>
      <c r="CC95" s="23">
        <v>-1</v>
      </c>
      <c r="CD95" s="23">
        <v>0</v>
      </c>
      <c r="CE95" s="23">
        <v>1</v>
      </c>
      <c r="CF95" s="23">
        <v>1</v>
      </c>
      <c r="CG95" s="24">
        <v>0</v>
      </c>
      <c r="CH95" s="2" t="s">
        <v>28</v>
      </c>
      <c r="CL95" s="8">
        <v>2.4609638082317273</v>
      </c>
      <c r="CM95" s="8">
        <v>-0.52282510783525948</v>
      </c>
      <c r="CN95" s="8">
        <v>4.3521113043664172</v>
      </c>
      <c r="CO95" s="8">
        <v>3.8151025990172815</v>
      </c>
      <c r="CP95" s="8">
        <v>4.0071719475462171</v>
      </c>
      <c r="CQ95" s="8">
        <v>4.0683315734039613</v>
      </c>
      <c r="CR95" s="8">
        <v>1.0758580911503071</v>
      </c>
      <c r="CS95" s="8">
        <v>1.0650904471204108</v>
      </c>
      <c r="CV95" s="2"/>
      <c r="CW95" s="2"/>
      <c r="CX95" s="2"/>
      <c r="CZ95" s="2"/>
      <c r="DA95" s="6" cm="1">
        <f t="array" ref="DA95:DH97">CL70:CS72</f>
        <v>4.1509621182543448</v>
      </c>
      <c r="DB95" s="6">
        <v>10.604904291378352</v>
      </c>
      <c r="DC95" s="6">
        <v>10.064267307001881</v>
      </c>
      <c r="DD95" s="6">
        <v>9.4103245187589906</v>
      </c>
      <c r="DE95" s="6">
        <v>12.261673744139218</v>
      </c>
      <c r="DF95" s="6">
        <v>10.985649197514725</v>
      </c>
      <c r="DG95" s="6">
        <v>2.7242036661746263</v>
      </c>
      <c r="DH95" s="6">
        <v>2.5157174128141397</v>
      </c>
    </row>
    <row r="96" spans="11:122" x14ac:dyDescent="0.5">
      <c r="N96" s="3">
        <v>1</v>
      </c>
      <c r="P96" s="16">
        <v>-1</v>
      </c>
      <c r="Q96" s="17">
        <v>1</v>
      </c>
      <c r="R96" s="17">
        <v>1</v>
      </c>
      <c r="S96" s="17">
        <v>0</v>
      </c>
      <c r="T96" s="18">
        <v>1</v>
      </c>
      <c r="U96" s="2" t="s">
        <v>28</v>
      </c>
      <c r="Z96" s="6">
        <v>1.7530388705855742</v>
      </c>
      <c r="AA96" s="6">
        <v>0.91541418251036033</v>
      </c>
      <c r="AB96" s="6">
        <v>7.060633265914551</v>
      </c>
      <c r="AC96" s="6">
        <v>3.0398174918981158</v>
      </c>
      <c r="AD96" s="6">
        <v>6.0183489604206217</v>
      </c>
      <c r="AE96" s="6">
        <v>5.0077005592855102</v>
      </c>
      <c r="AF96"/>
      <c r="AG96"/>
      <c r="AH96" s="2"/>
      <c r="AI96" s="2"/>
      <c r="AJ96" s="2"/>
      <c r="AL96" s="2"/>
      <c r="AM96" s="25" t="s">
        <v>34</v>
      </c>
      <c r="AN96" s="2"/>
      <c r="AO96" s="2"/>
      <c r="AP96" s="2"/>
      <c r="AS96"/>
      <c r="AT96"/>
      <c r="AV96" s="2" t="s">
        <v>3</v>
      </c>
      <c r="AW96" s="2">
        <v>0</v>
      </c>
      <c r="AX96" s="2">
        <v>1</v>
      </c>
      <c r="AY96" s="2">
        <v>2</v>
      </c>
      <c r="AZ96" s="2">
        <v>3</v>
      </c>
      <c r="BA96" s="2">
        <v>4</v>
      </c>
      <c r="BB96" s="2">
        <v>5</v>
      </c>
      <c r="BC96"/>
      <c r="BD96"/>
      <c r="BZ96" s="3">
        <v>1</v>
      </c>
      <c r="CB96" s="16">
        <v>-1</v>
      </c>
      <c r="CC96" s="17">
        <v>1</v>
      </c>
      <c r="CD96" s="17">
        <v>1</v>
      </c>
      <c r="CE96" s="17">
        <v>0</v>
      </c>
      <c r="CF96" s="17">
        <v>0</v>
      </c>
      <c r="CG96" s="18">
        <v>1</v>
      </c>
      <c r="CH96" s="2" t="s">
        <v>28</v>
      </c>
      <c r="CL96" s="6">
        <v>-3.0651633543576584</v>
      </c>
      <c r="CM96" s="6">
        <v>6.4329178630677282</v>
      </c>
      <c r="CN96" s="6">
        <v>0.17061360516498714</v>
      </c>
      <c r="CO96" s="6">
        <v>2.2006633999457055</v>
      </c>
      <c r="CP96" s="6">
        <v>2.9758930301067279</v>
      </c>
      <c r="CQ96" s="6">
        <v>4.7236441280376766</v>
      </c>
      <c r="CR96" s="6">
        <v>0.51482830386848977</v>
      </c>
      <c r="CS96" s="6">
        <v>0.35900548887437123</v>
      </c>
      <c r="CV96" s="2"/>
      <c r="CW96" s="2"/>
      <c r="CX96" s="2"/>
      <c r="CZ96" s="2"/>
      <c r="DA96" s="7">
        <v>2.5717193202119706</v>
      </c>
      <c r="DB96" s="7">
        <v>9.1091655078927207</v>
      </c>
      <c r="DC96" s="7">
        <v>7.4918560152048652</v>
      </c>
      <c r="DD96" s="7">
        <v>7.1382445768859011</v>
      </c>
      <c r="DE96" s="7">
        <v>6.6144986633972582</v>
      </c>
      <c r="DF96" s="7">
        <v>7.1527301464987465</v>
      </c>
      <c r="DG96" s="7">
        <v>0.80247918029708609</v>
      </c>
      <c r="DH96" s="7">
        <v>0.55220648939994399</v>
      </c>
    </row>
    <row r="97" spans="14:122" x14ac:dyDescent="0.5">
      <c r="P97" s="19">
        <v>-1</v>
      </c>
      <c r="Q97" s="20">
        <v>0</v>
      </c>
      <c r="R97" s="20">
        <v>0</v>
      </c>
      <c r="S97" s="20">
        <v>1</v>
      </c>
      <c r="T97" s="21">
        <v>-1</v>
      </c>
      <c r="U97" s="2" t="s">
        <v>28</v>
      </c>
      <c r="Z97" s="7">
        <v>-1.5145078130786183</v>
      </c>
      <c r="AA97" s="7">
        <v>-6.0972343736790027</v>
      </c>
      <c r="AB97" s="7">
        <v>-1.6989459812123044</v>
      </c>
      <c r="AC97" s="7">
        <v>-3.8915014457344879</v>
      </c>
      <c r="AD97" s="7">
        <v>-1.9587109266249974</v>
      </c>
      <c r="AE97" s="7">
        <v>-4.9838703566272251</v>
      </c>
      <c r="AF97"/>
      <c r="AG97"/>
      <c r="AH97" s="2"/>
      <c r="AI97" s="2" t="s">
        <v>35</v>
      </c>
      <c r="AJ97" s="2"/>
      <c r="AL97" s="2"/>
      <c r="AM97" s="2" t="s">
        <v>27</v>
      </c>
      <c r="AN97" s="2" t="s">
        <v>27</v>
      </c>
      <c r="AO97" s="2" t="s">
        <v>27</v>
      </c>
      <c r="AP97" s="2" t="s">
        <v>27</v>
      </c>
      <c r="AQ97" s="2" t="s">
        <v>27</v>
      </c>
      <c r="AR97" s="2" t="s">
        <v>27</v>
      </c>
      <c r="AS97"/>
      <c r="AT97"/>
      <c r="AV97" s="2"/>
      <c r="AW97" s="2"/>
      <c r="AX97" s="2"/>
      <c r="AY97" s="2"/>
      <c r="AZ97" s="2"/>
      <c r="BA97" s="2"/>
      <c r="BB97" s="2"/>
      <c r="BC97"/>
      <c r="BD97"/>
      <c r="CB97" s="19">
        <v>-1</v>
      </c>
      <c r="CC97" s="20">
        <v>0</v>
      </c>
      <c r="CD97" s="20">
        <v>0</v>
      </c>
      <c r="CE97" s="20">
        <v>1</v>
      </c>
      <c r="CF97" s="20">
        <v>0</v>
      </c>
      <c r="CG97" s="21">
        <v>-1</v>
      </c>
      <c r="CH97" s="2" t="s">
        <v>28</v>
      </c>
      <c r="CL97" s="7">
        <v>-2.5610909238413009</v>
      </c>
      <c r="CM97" s="7">
        <v>1.7160999088337145</v>
      </c>
      <c r="CN97" s="7">
        <v>-1.9439826972709153</v>
      </c>
      <c r="CO97" s="7">
        <v>-2.1794520011585901</v>
      </c>
      <c r="CP97" s="7">
        <v>-2.2064534704847047</v>
      </c>
      <c r="CQ97" s="7">
        <v>-0.17022829636441061</v>
      </c>
      <c r="CR97" s="7">
        <v>-1.1260096462957612</v>
      </c>
      <c r="CS97" s="7">
        <v>-1.0892335174206125</v>
      </c>
      <c r="CV97" s="2"/>
      <c r="CW97" s="2"/>
      <c r="CX97" s="2"/>
      <c r="CZ97" s="2"/>
      <c r="DA97" s="8">
        <v>-2.1679777245502363</v>
      </c>
      <c r="DB97" s="8">
        <v>-1.7346480424368154</v>
      </c>
      <c r="DC97" s="8">
        <v>-4.3232112224320183</v>
      </c>
      <c r="DD97" s="8">
        <v>-5.844422843172973</v>
      </c>
      <c r="DE97" s="8">
        <v>0.48871729099364414</v>
      </c>
      <c r="DF97" s="8">
        <v>-1.308170614901242</v>
      </c>
      <c r="DG97" s="8">
        <v>-0.18846014501071462</v>
      </c>
      <c r="DH97" s="8">
        <v>-0.11763297460399991</v>
      </c>
    </row>
    <row r="98" spans="14:122" x14ac:dyDescent="0.5">
      <c r="P98" s="22">
        <v>0</v>
      </c>
      <c r="Q98" s="23">
        <v>0</v>
      </c>
      <c r="R98" s="23">
        <v>-1</v>
      </c>
      <c r="S98" s="23">
        <v>-1</v>
      </c>
      <c r="T98" s="24">
        <v>0</v>
      </c>
      <c r="U98" s="2" t="s">
        <v>28</v>
      </c>
      <c r="Z98" s="8">
        <v>-5.3674104866999031</v>
      </c>
      <c r="AA98" s="8">
        <v>-2.4814163344433888</v>
      </c>
      <c r="AB98" s="8">
        <v>-4.2318507162950318</v>
      </c>
      <c r="AC98" s="8">
        <v>-5.097468522606583</v>
      </c>
      <c r="AD98" s="8">
        <v>-3.039539367935622</v>
      </c>
      <c r="AE98" s="8">
        <v>-5.0158522944636026</v>
      </c>
      <c r="AF98"/>
      <c r="AG98"/>
      <c r="AH98" s="2"/>
      <c r="AI98" s="26" cm="1">
        <f t="array" ref="AI98:AK103">TRANSPOSE(Z83:AE85)</f>
        <v>-1.0602196270121014</v>
      </c>
      <c r="AJ98" s="27">
        <v>1.3470690059876487</v>
      </c>
      <c r="AK98" s="28">
        <v>-5.2068490128383411</v>
      </c>
      <c r="AL98" s="2" t="s">
        <v>28</v>
      </c>
      <c r="AM98" s="54" cm="1">
        <f t="array" ref="AM98:AR103">MMULT(_xlfn.ANCHORARRAY(AI98),_xlfn.ANCHORARRAY(AM92)) / SQRT(3)</f>
        <v>15.127620389446475</v>
      </c>
      <c r="AN98" s="68">
        <v>15.529618855679114</v>
      </c>
      <c r="AO98" s="68">
        <v>-1.0095978329023896</v>
      </c>
      <c r="AP98" s="68">
        <v>13.753280504675008</v>
      </c>
      <c r="AQ98" s="68">
        <v>-4.7218994326336281</v>
      </c>
      <c r="AR98" s="69">
        <v>4.3151269986018779</v>
      </c>
      <c r="AS98"/>
      <c r="AT98"/>
      <c r="AW98" s="54" cm="1">
        <f t="array" ref="AW98:AW103">SOFTMAX(AM98:AM103)</f>
        <v>9.5066588948503809E-4</v>
      </c>
      <c r="AX98" s="68" cm="1">
        <f t="array" ref="AX98:AX103">SOFTMAX(AN98:AN103)</f>
        <v>9.238762413360883E-3</v>
      </c>
      <c r="AY98" s="68" cm="1">
        <f t="array" ref="AY98:AY103">SOFTMAX(AO98:AO103)</f>
        <v>4.0406882064014569E-8</v>
      </c>
      <c r="AZ98" s="68" cm="1">
        <f t="array" ref="AZ98:AZ103">SOFTMAX(AP98:AP103)</f>
        <v>1.9751414929259855E-4</v>
      </c>
      <c r="BA98" s="68" cm="1">
        <f t="array" ref="BA98:BA103">SOFTMAX(AQ98:AQ103)</f>
        <v>3.3888218802451435E-8</v>
      </c>
      <c r="BB98" s="69" cm="1">
        <f t="array" ref="BB98:BB103">SOFTMAX(AR98:AR103)</f>
        <v>3.8078601851828595E-6</v>
      </c>
      <c r="BC98"/>
      <c r="BD98"/>
      <c r="CB98" s="22">
        <v>0</v>
      </c>
      <c r="CC98" s="23">
        <v>1</v>
      </c>
      <c r="CD98" s="23">
        <v>1</v>
      </c>
      <c r="CE98" s="23">
        <v>0</v>
      </c>
      <c r="CF98" s="23">
        <v>0</v>
      </c>
      <c r="CG98" s="24">
        <v>0</v>
      </c>
      <c r="CH98" s="2" t="s">
        <v>28</v>
      </c>
      <c r="CL98" s="8">
        <v>0.52277198171626837</v>
      </c>
      <c r="CM98" s="8">
        <v>5.9779892568737214</v>
      </c>
      <c r="CN98" s="8">
        <v>2.1738807279175179</v>
      </c>
      <c r="CO98" s="8">
        <v>2.2159760559916535</v>
      </c>
      <c r="CP98" s="8">
        <v>4.1939684990286494</v>
      </c>
      <c r="CQ98" s="8">
        <v>3.1540058199206671</v>
      </c>
      <c r="CR98" s="8">
        <v>1.115022629275418</v>
      </c>
      <c r="CS98" s="8">
        <v>1.0830191999144021</v>
      </c>
      <c r="CV98" s="2"/>
      <c r="CW98" s="2"/>
      <c r="CX98" s="2"/>
      <c r="CZ98" s="2"/>
      <c r="DA98" s="2"/>
      <c r="DB98" s="2"/>
      <c r="DC98" s="2"/>
      <c r="DD98" s="2"/>
    </row>
    <row r="99" spans="14:122" x14ac:dyDescent="0.5"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s="2"/>
      <c r="AI99" s="26">
        <v>1.5323860746012929</v>
      </c>
      <c r="AJ99" s="27">
        <v>-0.57738146334843865</v>
      </c>
      <c r="AK99" s="28">
        <v>-5.2681074151311993</v>
      </c>
      <c r="AL99" s="2" t="s">
        <v>28</v>
      </c>
      <c r="AM99" s="55">
        <v>22.082974552773376</v>
      </c>
      <c r="AN99" s="7">
        <v>20.197210412324367</v>
      </c>
      <c r="AO99" s="7">
        <v>7.375896411859884</v>
      </c>
      <c r="AP99" s="7">
        <v>22.281428753034863</v>
      </c>
      <c r="AQ99" s="7">
        <v>2.7953284475213049</v>
      </c>
      <c r="AR99" s="57">
        <v>16.790955076683321</v>
      </c>
      <c r="AS99"/>
      <c r="AT99"/>
      <c r="AW99" s="55">
        <v>0.99701075742526113</v>
      </c>
      <c r="AX99" s="7">
        <v>0.9833838137650891</v>
      </c>
      <c r="AY99" s="7">
        <v>1.7710434601117715E-4</v>
      </c>
      <c r="AZ99" s="7">
        <v>0.99844911802075043</v>
      </c>
      <c r="BA99" s="7">
        <v>6.2336057298405611E-5</v>
      </c>
      <c r="BB99" s="57">
        <v>0.99738833663858395</v>
      </c>
      <c r="BC99"/>
      <c r="BD99"/>
      <c r="BZ99" s="3">
        <v>2</v>
      </c>
      <c r="CB99" s="16">
        <v>1</v>
      </c>
      <c r="CC99" s="17">
        <v>1</v>
      </c>
      <c r="CD99" s="17">
        <v>0</v>
      </c>
      <c r="CE99" s="17">
        <v>0</v>
      </c>
      <c r="CF99" s="17">
        <v>1</v>
      </c>
      <c r="CG99" s="18">
        <v>1</v>
      </c>
      <c r="CH99" s="2" t="s">
        <v>28</v>
      </c>
      <c r="CL99" s="6">
        <v>6.9788588090127313</v>
      </c>
      <c r="CM99" s="6">
        <v>5.362301205097685</v>
      </c>
      <c r="CN99" s="6">
        <v>9.4783482360679194</v>
      </c>
      <c r="CO99" s="6">
        <v>6.8299082694274968</v>
      </c>
      <c r="CP99" s="6">
        <v>10.792348645763932</v>
      </c>
      <c r="CQ99" s="6">
        <v>6.6358985313584951</v>
      </c>
      <c r="CR99" s="6">
        <v>2.4735420735068532</v>
      </c>
      <c r="CS99" s="6">
        <v>2.3397209660984775</v>
      </c>
      <c r="CV99" s="2"/>
      <c r="CW99" s="2"/>
      <c r="CX99" s="2"/>
      <c r="CZ99" s="2"/>
      <c r="DA99" s="91" t="s">
        <v>52</v>
      </c>
      <c r="DB99" s="2"/>
      <c r="DC99" s="2"/>
      <c r="DD99" s="2"/>
      <c r="DJ99" s="2" t="s">
        <v>3</v>
      </c>
      <c r="DK99" s="2">
        <v>0</v>
      </c>
      <c r="DL99" s="2">
        <v>1</v>
      </c>
      <c r="DM99" s="2">
        <v>2</v>
      </c>
      <c r="DN99" s="2">
        <v>3</v>
      </c>
      <c r="DO99" s="2">
        <v>4</v>
      </c>
      <c r="DP99" s="2">
        <v>5</v>
      </c>
      <c r="DQ99" s="2">
        <v>6</v>
      </c>
      <c r="DR99" s="2">
        <v>7</v>
      </c>
    </row>
    <row r="100" spans="14:122" x14ac:dyDescent="0.5"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I100" s="26">
        <v>1.8446540704245233</v>
      </c>
      <c r="AJ100" s="27">
        <v>1.1437182136439881</v>
      </c>
      <c r="AK100" s="28">
        <v>-0.12186541982928301</v>
      </c>
      <c r="AL100" s="2" t="s">
        <v>28</v>
      </c>
      <c r="AM100" s="55">
        <v>15.252119336215213</v>
      </c>
      <c r="AN100" s="7">
        <v>10.402940212676867</v>
      </c>
      <c r="AO100" s="7">
        <v>15.176251700785743</v>
      </c>
      <c r="AP100" s="7">
        <v>15.212333444751899</v>
      </c>
      <c r="AQ100" s="7">
        <v>11.193601472783069</v>
      </c>
      <c r="AR100" s="57">
        <v>10.49790663260031</v>
      </c>
      <c r="AS100"/>
      <c r="AT100"/>
      <c r="AW100" s="55">
        <v>1.0767059598746256E-3</v>
      </c>
      <c r="AX100" s="7">
        <v>5.4843549360803623E-5</v>
      </c>
      <c r="AY100" s="7">
        <v>0.43239481492269854</v>
      </c>
      <c r="AZ100" s="7">
        <v>8.4968285138341032E-4</v>
      </c>
      <c r="BA100" s="7">
        <v>0.27673428157137719</v>
      </c>
      <c r="BB100" s="57">
        <v>1.8442851598791173E-3</v>
      </c>
      <c r="BC100"/>
      <c r="BD100"/>
      <c r="CB100" s="19">
        <v>0</v>
      </c>
      <c r="CC100" s="20">
        <v>1</v>
      </c>
      <c r="CD100" s="20">
        <v>0</v>
      </c>
      <c r="CE100" s="20">
        <v>1</v>
      </c>
      <c r="CF100" s="20">
        <v>1</v>
      </c>
      <c r="CG100" s="21">
        <v>0</v>
      </c>
      <c r="CH100" s="2" t="s">
        <v>28</v>
      </c>
      <c r="CL100" s="7">
        <v>4.4177678851714308</v>
      </c>
      <c r="CM100" s="7">
        <v>7.0784011139313989</v>
      </c>
      <c r="CN100" s="7">
        <v>7.5343655387970045</v>
      </c>
      <c r="CO100" s="7">
        <v>4.6504562682689077</v>
      </c>
      <c r="CP100" s="7">
        <v>8.5858951752792265</v>
      </c>
      <c r="CQ100" s="7">
        <v>6.465670234994084</v>
      </c>
      <c r="CR100" s="7">
        <v>1.347532427211092</v>
      </c>
      <c r="CS100" s="7">
        <v>1.2504874486778652</v>
      </c>
      <c r="CV100" s="2"/>
      <c r="CW100" s="2" t="s">
        <v>35</v>
      </c>
      <c r="CX100" s="2"/>
      <c r="CZ100" s="2"/>
      <c r="DA100" s="2" t="s">
        <v>27</v>
      </c>
      <c r="DB100" s="2" t="s">
        <v>27</v>
      </c>
      <c r="DC100" s="2" t="s">
        <v>27</v>
      </c>
      <c r="DD100" s="2" t="s">
        <v>27</v>
      </c>
      <c r="DE100" s="2" t="s">
        <v>27</v>
      </c>
      <c r="DF100" s="2" t="s">
        <v>27</v>
      </c>
      <c r="DG100" s="2" t="s">
        <v>27</v>
      </c>
      <c r="DH100" s="2" t="s">
        <v>27</v>
      </c>
      <c r="DJ100" s="2"/>
      <c r="DK100" s="2"/>
      <c r="DL100" s="2"/>
      <c r="DM100" s="2"/>
      <c r="DN100" s="2"/>
      <c r="DO100" s="2"/>
      <c r="DP100" s="2"/>
      <c r="DQ100" s="2"/>
      <c r="DR100" s="2"/>
    </row>
    <row r="101" spans="14:122" x14ac:dyDescent="0.5"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I101" s="26">
        <v>-5.5128528100493845E-2</v>
      </c>
      <c r="AJ101" s="27">
        <v>5.3054564080228239E-2</v>
      </c>
      <c r="AK101" s="28">
        <v>-5.0497744258270902</v>
      </c>
      <c r="AL101" s="2" t="s">
        <v>28</v>
      </c>
      <c r="AM101" s="55">
        <v>15.085139843433273</v>
      </c>
      <c r="AN101" s="7">
        <v>15.296862987848842</v>
      </c>
      <c r="AO101" s="7">
        <v>0.22152394215257862</v>
      </c>
      <c r="AP101" s="7">
        <v>14.588068041031784</v>
      </c>
      <c r="AQ101" s="7">
        <v>-2.9894975592733273</v>
      </c>
      <c r="AR101" s="57">
        <v>8.5138055132807509</v>
      </c>
      <c r="AS101"/>
      <c r="AT101"/>
      <c r="AW101" s="55">
        <v>9.1112684925573719E-4</v>
      </c>
      <c r="AX101" s="7">
        <v>7.3203055646372563E-3</v>
      </c>
      <c r="AY101" s="7">
        <v>1.383963809496099E-7</v>
      </c>
      <c r="AZ101" s="7">
        <v>4.5513667575539942E-4</v>
      </c>
      <c r="BA101" s="7">
        <v>1.916113878653771E-7</v>
      </c>
      <c r="BB101" s="57">
        <v>2.5359687878520425E-4</v>
      </c>
      <c r="BC101"/>
      <c r="BD101"/>
      <c r="CB101" s="22">
        <v>1</v>
      </c>
      <c r="CC101" s="23">
        <v>1</v>
      </c>
      <c r="CD101" s="23">
        <v>1</v>
      </c>
      <c r="CE101" s="23">
        <v>0</v>
      </c>
      <c r="CF101" s="23">
        <v>-1</v>
      </c>
      <c r="CG101" s="24">
        <v>2</v>
      </c>
      <c r="CH101" s="2" t="s">
        <v>28</v>
      </c>
      <c r="CL101" s="8">
        <v>2.6423073325037301</v>
      </c>
      <c r="CM101" s="8">
        <v>10.252079107554158</v>
      </c>
      <c r="CN101" s="8">
        <v>8.0289346420832146</v>
      </c>
      <c r="CO101" s="8">
        <v>10.642215078903082</v>
      </c>
      <c r="CP101" s="8">
        <v>6.9829908234642932</v>
      </c>
      <c r="CQ101" s="8">
        <v>7.4007123700983906</v>
      </c>
      <c r="CR101" s="8">
        <v>1.965135263205358</v>
      </c>
      <c r="CS101" s="8">
        <v>1.6585704816777107</v>
      </c>
      <c r="CV101" s="2"/>
      <c r="CW101" s="26" cm="1">
        <f t="array" ref="CW101:CY108">TRANSPOSE(CL83:CS85)</f>
        <v>0.21836339315431119</v>
      </c>
      <c r="CX101" s="27">
        <v>2.3828950303754728</v>
      </c>
      <c r="CY101" s="28">
        <v>-1.5121008730796892</v>
      </c>
      <c r="CZ101" s="2" t="s">
        <v>28</v>
      </c>
      <c r="DA101" s="6" cm="1">
        <f t="array" ref="DA101:DH108">MMULT(CW101:CY108,_xlfn.ANCHORARRAY(DA95))/SQRT(3)+DA63:DH70</f>
        <v>5.9540726667455743</v>
      </c>
      <c r="DB101" s="6">
        <v>15.38342340062241</v>
      </c>
      <c r="DC101" s="6">
        <v>15.350072511414647</v>
      </c>
      <c r="DD101" s="6">
        <v>16.109178023153738</v>
      </c>
      <c r="DE101" s="6">
        <v>10.219196087209122</v>
      </c>
      <c r="DF101" s="6">
        <v>12.36750942281955</v>
      </c>
      <c r="DG101" s="6">
        <v>1.6119970294805637</v>
      </c>
      <c r="DH101" s="6">
        <v>1.1795633271757344</v>
      </c>
      <c r="DK101" s="6" cm="1">
        <f t="array" ref="DK101:DK108">SOFTMAX(DA101:DA108)</f>
        <v>1</v>
      </c>
      <c r="DL101" s="6" cm="1">
        <f t="array" ref="DL101:DL108">SOFTMAX(DB101:DB108)</f>
        <v>3.0060760023322727E-6</v>
      </c>
      <c r="DM101" s="6" cm="1">
        <f t="array" ref="DM101:DM108">SOFTMAX(DC101:DC108)</f>
        <v>8.5062291432006998E-2</v>
      </c>
      <c r="DN101" s="6" cm="1">
        <f t="array" ref="DN101:DN108">SOFTMAX(DD101:DD108)</f>
        <v>0.33227336444635869</v>
      </c>
      <c r="DO101" s="6" cm="1">
        <f t="array" ref="DO101:DO108">SOFTMAX(DE101:DE108)</f>
        <v>6.1166695880750531E-7</v>
      </c>
      <c r="DP101" s="6" cm="1">
        <f t="array" ref="DP101:DP108">SOFTMAX(DF101:DF108)</f>
        <v>2.1873090817092715E-4</v>
      </c>
      <c r="DQ101" s="6" cm="1">
        <f t="array" ref="DQ101:DQ108">SOFTMAX(DG101:DG108)</f>
        <v>0.2882624231670573</v>
      </c>
      <c r="DR101" s="6" cm="1">
        <f t="array" ref="DR101:DR108">SOFTMAX(DH101:DH108)</f>
        <v>0.31788374616999843</v>
      </c>
    </row>
    <row r="102" spans="14:122" x14ac:dyDescent="0.5"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I102" s="26">
        <v>1.9792095591526777</v>
      </c>
      <c r="AJ102" s="27">
        <v>1.0204486329443456</v>
      </c>
      <c r="AK102" s="28">
        <v>0.98005933209003349</v>
      </c>
      <c r="AL102" s="2" t="s">
        <v>28</v>
      </c>
      <c r="AM102" s="55">
        <v>12.197248656262776</v>
      </c>
      <c r="AN102" s="7">
        <v>7.2202617390891319</v>
      </c>
      <c r="AO102" s="7">
        <v>15.448026302707095</v>
      </c>
      <c r="AP102" s="7">
        <v>12.350029515762282</v>
      </c>
      <c r="AQ102" s="7">
        <v>12.154233873501267</v>
      </c>
      <c r="AR102" s="57">
        <v>9.2124017373523888</v>
      </c>
      <c r="AS102"/>
      <c r="AT102"/>
      <c r="AW102" s="55">
        <v>5.0743876075093707E-5</v>
      </c>
      <c r="AX102" s="7">
        <v>2.2746042952656552E-6</v>
      </c>
      <c r="AY102" s="7">
        <v>0.56742790192802106</v>
      </c>
      <c r="AZ102" s="7">
        <v>4.854830272714451E-5</v>
      </c>
      <c r="BA102" s="7">
        <v>0.72320315686597059</v>
      </c>
      <c r="BB102" s="57">
        <v>5.0996502193728145E-4</v>
      </c>
      <c r="BC102"/>
      <c r="BD102"/>
      <c r="CV102" s="2"/>
      <c r="CW102" s="26">
        <v>-0.98706136920333143</v>
      </c>
      <c r="CX102" s="27">
        <v>7.7600384764361596</v>
      </c>
      <c r="CY102" s="28">
        <v>6.6596266193784821</v>
      </c>
      <c r="CZ102" s="2" t="s">
        <v>28</v>
      </c>
      <c r="DA102" s="7">
        <v>-98.179317169774791</v>
      </c>
      <c r="DB102" s="7">
        <v>28.098295377951334</v>
      </c>
      <c r="DC102" s="7">
        <v>11.207563223260607</v>
      </c>
      <c r="DD102" s="7">
        <v>4.1469977635909405</v>
      </c>
      <c r="DE102" s="7">
        <v>24.526078652254668</v>
      </c>
      <c r="DF102" s="7">
        <v>20.755755664398507</v>
      </c>
      <c r="DG102" s="7">
        <v>1.3182286030747374</v>
      </c>
      <c r="DH102" s="7">
        <v>0.58808000159102647</v>
      </c>
      <c r="DK102" s="7">
        <v>5.9627062165764655E-46</v>
      </c>
      <c r="DL102" s="7">
        <v>0.99999699392399766</v>
      </c>
      <c r="DM102" s="7">
        <v>1.351039829875266E-3</v>
      </c>
      <c r="DN102" s="7">
        <v>2.1202479437099428E-6</v>
      </c>
      <c r="DO102" s="7">
        <v>0.99980469660822313</v>
      </c>
      <c r="DP102" s="7">
        <v>0.96134486686080733</v>
      </c>
      <c r="DQ102" s="7">
        <v>0.21488496327486331</v>
      </c>
      <c r="DR102" s="7">
        <v>0.17595044841022869</v>
      </c>
    </row>
    <row r="103" spans="14:122" x14ac:dyDescent="0.5">
      <c r="AF103"/>
      <c r="AG103"/>
      <c r="AI103" s="26">
        <v>-1.0080883402876859</v>
      </c>
      <c r="AJ103" s="27">
        <v>-2.9919666213704064</v>
      </c>
      <c r="AK103" s="28">
        <v>-3.0079536300703191</v>
      </c>
      <c r="AL103" s="2" t="s">
        <v>28</v>
      </c>
      <c r="AM103" s="56">
        <v>-8.5754318135651264</v>
      </c>
      <c r="AN103" s="58">
        <v>-2.7798388320874632</v>
      </c>
      <c r="AO103" s="58">
        <v>-16.746874765853502</v>
      </c>
      <c r="AP103" s="58">
        <v>-7.7477056106439575</v>
      </c>
      <c r="AQ103" s="58">
        <v>-13.403992009760351</v>
      </c>
      <c r="AR103" s="59">
        <v>-1.7966388124753008</v>
      </c>
      <c r="AS103"/>
      <c r="AT103"/>
      <c r="AW103" s="56">
        <v>4.829733143254069E-14</v>
      </c>
      <c r="AX103" s="58">
        <v>1.0325649009359272E-10</v>
      </c>
      <c r="AY103" s="58">
        <v>5.9134755825159165E-15</v>
      </c>
      <c r="AZ103" s="58">
        <v>9.0748318621840603E-14</v>
      </c>
      <c r="BA103" s="58">
        <v>5.7472997044571914E-12</v>
      </c>
      <c r="BB103" s="59">
        <v>8.4406293054394341E-9</v>
      </c>
      <c r="BC103"/>
      <c r="BD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W103" s="26">
        <v>-0.99805907647119962</v>
      </c>
      <c r="CX103" s="27">
        <v>5.5447078577022131</v>
      </c>
      <c r="CY103" s="28">
        <v>0.18422304682272683</v>
      </c>
      <c r="CZ103" s="2" t="s">
        <v>28</v>
      </c>
      <c r="DA103" s="7">
        <v>-93.389809236513884</v>
      </c>
      <c r="DB103" s="7">
        <v>-76.13474785785894</v>
      </c>
      <c r="DC103" s="7">
        <v>17.724066929727755</v>
      </c>
      <c r="DD103" s="7">
        <v>16.807095661900949</v>
      </c>
      <c r="DE103" s="7">
        <v>14.161028545947691</v>
      </c>
      <c r="DF103" s="7">
        <v>16.428199943109572</v>
      </c>
      <c r="DG103" s="7">
        <v>0.97911545777101283</v>
      </c>
      <c r="DH103" s="7">
        <v>0.30560209657406878</v>
      </c>
      <c r="DK103" s="7">
        <v>7.1696883545996149E-44</v>
      </c>
      <c r="DL103" s="7">
        <v>5.3971338051555815E-46</v>
      </c>
      <c r="DM103" s="7">
        <v>0.91358666873811767</v>
      </c>
      <c r="DN103" s="7">
        <v>0.66772449494999819</v>
      </c>
      <c r="DO103" s="7">
        <v>3.1508745089521369E-5</v>
      </c>
      <c r="DP103" s="7">
        <v>1.2689533068334813E-2</v>
      </c>
      <c r="DQ103" s="7">
        <v>0.15308444314078121</v>
      </c>
      <c r="DR103" s="7">
        <v>0.13265138310538921</v>
      </c>
    </row>
    <row r="104" spans="14:122" x14ac:dyDescent="0.5"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CW104" s="26">
        <v>-2.1780520707516295</v>
      </c>
      <c r="CX104" s="27">
        <v>4.1766755477616577</v>
      </c>
      <c r="CY104" s="28">
        <v>1.7421953354844038</v>
      </c>
      <c r="CZ104" s="2" t="s">
        <v>28</v>
      </c>
      <c r="DA104" s="7">
        <v>-100.19904976627124</v>
      </c>
      <c r="DB104" s="7">
        <v>-92.114578795832955</v>
      </c>
      <c r="DC104" s="7">
        <v>-97.938440406381744</v>
      </c>
      <c r="DD104" s="7">
        <v>-0.49892961482675025</v>
      </c>
      <c r="DE104" s="7">
        <v>1.0227713389287745</v>
      </c>
      <c r="DF104" s="7">
        <v>2.1178526404032585</v>
      </c>
      <c r="DG104" s="7">
        <v>-1.6801450853356823</v>
      </c>
      <c r="DH104" s="7">
        <v>-1.9502405955453666</v>
      </c>
      <c r="DK104" s="7">
        <v>7.9119710688985391E-47</v>
      </c>
      <c r="DL104" s="7">
        <v>6.1974179697660471E-53</v>
      </c>
      <c r="DM104" s="7">
        <v>5.3599539004761104E-51</v>
      </c>
      <c r="DN104" s="7">
        <v>2.0355699308748383E-8</v>
      </c>
      <c r="DO104" s="7">
        <v>6.2023818469664715E-11</v>
      </c>
      <c r="DP104" s="7">
        <v>7.7364330959209636E-9</v>
      </c>
      <c r="DQ104" s="7">
        <v>1.0715905595741402E-2</v>
      </c>
      <c r="DR104" s="7">
        <v>1.3899902352852803E-2</v>
      </c>
    </row>
    <row r="105" spans="14:122" x14ac:dyDescent="0.5"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CW105" s="26">
        <v>-0.39803895343070206</v>
      </c>
      <c r="CX105" s="27">
        <v>4.8433269796994125</v>
      </c>
      <c r="CY105" s="28">
        <v>0.45140030344883542</v>
      </c>
      <c r="CZ105" s="2" t="s">
        <v>28</v>
      </c>
      <c r="DA105" s="7">
        <v>-93.327644948490672</v>
      </c>
      <c r="DB105" s="7">
        <v>-76.417243629406187</v>
      </c>
      <c r="DC105" s="7">
        <v>-81.4900984715173</v>
      </c>
      <c r="DD105" s="7">
        <v>-82.72507177274484</v>
      </c>
      <c r="DE105" s="7">
        <v>15.805635182880355</v>
      </c>
      <c r="DF105" s="7">
        <v>17.135632422261718</v>
      </c>
      <c r="DG105" s="7">
        <v>1.5688101699117234</v>
      </c>
      <c r="DH105" s="7">
        <v>0.93534409893784487</v>
      </c>
      <c r="DK105" s="7">
        <v>7.6295317704646748E-44</v>
      </c>
      <c r="DL105" s="7">
        <v>4.0688982570195873E-46</v>
      </c>
      <c r="DM105" s="7">
        <v>7.4573614475566755E-44</v>
      </c>
      <c r="DN105" s="7">
        <v>3.9657580963127646E-44</v>
      </c>
      <c r="DO105" s="7">
        <v>1.6318291770461084E-4</v>
      </c>
      <c r="DP105" s="7">
        <v>2.5744215599333278E-2</v>
      </c>
      <c r="DQ105" s="7">
        <v>0.27607826579419065</v>
      </c>
      <c r="DR105" s="7">
        <v>0.24900338969888039</v>
      </c>
    </row>
    <row r="106" spans="14:122" x14ac:dyDescent="0.5">
      <c r="AS106"/>
      <c r="AT106"/>
      <c r="BC106"/>
      <c r="BD106"/>
      <c r="CW106" s="26">
        <v>-1.58144302724416</v>
      </c>
      <c r="CX106" s="27">
        <v>4.5880876731037112</v>
      </c>
      <c r="CY106" s="28">
        <v>1.2764232580302943</v>
      </c>
      <c r="CZ106" s="2" t="s">
        <v>28</v>
      </c>
      <c r="DA106" s="7">
        <v>-97.575384502470158</v>
      </c>
      <c r="DB106" s="7">
        <v>-85.831533562815508</v>
      </c>
      <c r="DC106" s="7">
        <v>-91.529676690303717</v>
      </c>
      <c r="DD106" s="7">
        <v>-92.990336447269598</v>
      </c>
      <c r="DE106" s="7">
        <v>-92.313953954178388</v>
      </c>
      <c r="DF106" s="7">
        <v>7.9526508301625789</v>
      </c>
      <c r="DG106" s="7">
        <v>-0.50049511604201247</v>
      </c>
      <c r="DH106" s="7">
        <v>-0.92089760399264975</v>
      </c>
      <c r="DK106" s="7">
        <v>1.090757070804058E-45</v>
      </c>
      <c r="DL106" s="7">
        <v>3.3182007818602676E-50</v>
      </c>
      <c r="DM106" s="7">
        <v>3.2542564340482754E-48</v>
      </c>
      <c r="DN106" s="7">
        <v>1.3809514682146338E-48</v>
      </c>
      <c r="DO106" s="7">
        <v>1.8068984534056724E-51</v>
      </c>
      <c r="DP106" s="7">
        <v>2.6458269206038845E-6</v>
      </c>
      <c r="DQ106" s="7">
        <v>3.4861362048318183E-2</v>
      </c>
      <c r="DR106" s="7">
        <v>3.89089696649201E-2</v>
      </c>
    </row>
    <row r="107" spans="14:122" x14ac:dyDescent="0.5">
      <c r="AM107" s="3" t="s">
        <v>38</v>
      </c>
      <c r="AN107" s="2"/>
      <c r="AO107" s="2"/>
      <c r="AQ107" s="2"/>
      <c r="AR107" s="2"/>
      <c r="AS107"/>
      <c r="AT107"/>
      <c r="AW107" s="2" t="s">
        <v>27</v>
      </c>
      <c r="AX107" s="2" t="s">
        <v>27</v>
      </c>
      <c r="AY107" s="2" t="s">
        <v>27</v>
      </c>
      <c r="AZ107" s="2" t="s">
        <v>27</v>
      </c>
      <c r="BA107" s="2" t="s">
        <v>27</v>
      </c>
      <c r="BB107" s="2" t="s">
        <v>27</v>
      </c>
      <c r="BC107"/>
      <c r="BD107"/>
      <c r="CW107" s="26">
        <v>-0.71501875004430904</v>
      </c>
      <c r="CX107" s="27">
        <v>0.4049934025785773</v>
      </c>
      <c r="CY107" s="28">
        <v>0.17248360464290324</v>
      </c>
      <c r="CZ107" s="2" t="s">
        <v>28</v>
      </c>
      <c r="DA107" s="7">
        <v>-100.32815214771362</v>
      </c>
      <c r="DB107" s="7">
        <v>-101.42068639435539</v>
      </c>
      <c r="DC107" s="7">
        <v>-101.83344495702401</v>
      </c>
      <c r="DD107" s="7">
        <v>-101.7976567506888</v>
      </c>
      <c r="DE107" s="7">
        <v>-102.466527983882</v>
      </c>
      <c r="DF107" s="7">
        <v>-101.99285367286508</v>
      </c>
      <c r="DG107" s="7">
        <v>-0.95572497321471639</v>
      </c>
      <c r="DH107" s="7">
        <v>-0.92112476575150093</v>
      </c>
      <c r="DK107" s="7">
        <v>6.9537046189574356E-47</v>
      </c>
      <c r="DL107" s="7">
        <v>5.6314419157006279E-57</v>
      </c>
      <c r="DM107" s="7">
        <v>1.0903905302877179E-52</v>
      </c>
      <c r="DN107" s="7">
        <v>2.0663686675637355E-52</v>
      </c>
      <c r="DO107" s="7">
        <v>7.0425001992712665E-56</v>
      </c>
      <c r="DP107" s="7">
        <v>4.7188428588842789E-54</v>
      </c>
      <c r="DQ107" s="7">
        <v>2.2112636979048091E-2</v>
      </c>
      <c r="DR107" s="7">
        <v>3.8900132038759284E-2</v>
      </c>
    </row>
    <row r="108" spans="14:122" x14ac:dyDescent="0.5">
      <c r="AM108" s="6" cm="1">
        <f t="array" ref="AM108:AR110">Z96:AE98</f>
        <v>1.7530388705855742</v>
      </c>
      <c r="AN108" s="6">
        <v>0.91541418251036033</v>
      </c>
      <c r="AO108" s="6">
        <v>7.060633265914551</v>
      </c>
      <c r="AP108" s="6">
        <v>3.0398174918981158</v>
      </c>
      <c r="AQ108" s="6">
        <v>6.0183489604206217</v>
      </c>
      <c r="AR108" s="6">
        <v>5.0077005592855102</v>
      </c>
      <c r="AS108"/>
      <c r="AT108"/>
      <c r="AV108" s="2" t="s">
        <v>28</v>
      </c>
      <c r="AW108" s="29" cm="1">
        <f t="array" ref="AW108:BB110">MMULT(_xlfn.ANCHORARRAY(AM108),AW98:BB103)</f>
        <v>0.9250216213253587</v>
      </c>
      <c r="AX108" s="29">
        <v>0.93905271256835054</v>
      </c>
      <c r="AY108" s="29">
        <v>6.4681229532990576</v>
      </c>
      <c r="AZ108" s="29">
        <v>0.92201574519417906</v>
      </c>
      <c r="BA108" s="29">
        <v>6.3064659467897819</v>
      </c>
      <c r="BB108" s="29">
        <v>0.92989200326376409</v>
      </c>
      <c r="BC108"/>
      <c r="BD108"/>
      <c r="CW108" s="26">
        <v>-0.80731165697696572</v>
      </c>
      <c r="CX108" s="27">
        <v>0.27729722439934457</v>
      </c>
      <c r="CY108" s="28">
        <v>0.10982897563588145</v>
      </c>
      <c r="CZ108" s="2" t="s">
        <v>28</v>
      </c>
      <c r="DA108" s="8">
        <v>-100.66051494357332</v>
      </c>
      <c r="DB108" s="8">
        <v>-102.59460076690847</v>
      </c>
      <c r="DC108" s="8">
        <v>-102.76567665842957</v>
      </c>
      <c r="DD108" s="8">
        <v>-102.61394493647143</v>
      </c>
      <c r="DE108" s="8">
        <v>-103.62523078023206</v>
      </c>
      <c r="DF108" s="8">
        <v>-103.0582443932862</v>
      </c>
      <c r="DG108" s="8">
        <v>-100.15323089963272</v>
      </c>
      <c r="DH108" s="8">
        <v>-1.0916320508949322</v>
      </c>
      <c r="DK108" s="8">
        <v>4.9873851800207351E-47</v>
      </c>
      <c r="DL108" s="8">
        <v>1.7409851822975451E-57</v>
      </c>
      <c r="DM108" s="8">
        <v>4.2925858274169306E-53</v>
      </c>
      <c r="DN108" s="8">
        <v>9.1347854876270159E-53</v>
      </c>
      <c r="DO108" s="8">
        <v>2.2105922205124923E-56</v>
      </c>
      <c r="DP108" s="8">
        <v>1.6260811084943783E-54</v>
      </c>
      <c r="DQ108" s="8">
        <v>1.835317027184046E-45</v>
      </c>
      <c r="DR108" s="8">
        <v>3.2802028558971047E-2</v>
      </c>
    </row>
    <row r="109" spans="14:122" x14ac:dyDescent="0.5">
      <c r="AM109" s="7">
        <v>-1.5145078130786183</v>
      </c>
      <c r="AN109" s="7">
        <v>-6.0972343736790027</v>
      </c>
      <c r="AO109" s="7">
        <v>-1.6989459812123044</v>
      </c>
      <c r="AP109" s="7">
        <v>-3.8915014457344879</v>
      </c>
      <c r="AQ109" s="7">
        <v>-1.9587109266249974</v>
      </c>
      <c r="AR109" s="7">
        <v>-4.9838703566272251</v>
      </c>
      <c r="AS109"/>
      <c r="AT109"/>
      <c r="AV109" s="2" t="s">
        <v>28</v>
      </c>
      <c r="AW109" s="30">
        <v>-6.0859223613176621</v>
      </c>
      <c r="AX109" s="30">
        <v>-6.0384983813889548</v>
      </c>
      <c r="AY109" s="30">
        <v>-1.8471231111607811</v>
      </c>
      <c r="AZ109" s="30">
        <v>-6.0913872418767454</v>
      </c>
      <c r="BA109" s="30">
        <v>-1.8870833956223225</v>
      </c>
      <c r="BB109" s="30">
        <v>-6.0864353467019798</v>
      </c>
      <c r="BC109"/>
      <c r="BD109"/>
    </row>
    <row r="110" spans="14:122" x14ac:dyDescent="0.5">
      <c r="AM110" s="8">
        <v>-5.3674104866999031</v>
      </c>
      <c r="AN110" s="8">
        <v>-2.4814163344433888</v>
      </c>
      <c r="AO110" s="8">
        <v>-4.2318507162950318</v>
      </c>
      <c r="AP110" s="8">
        <v>-5.097468522606583</v>
      </c>
      <c r="AQ110" s="8">
        <v>-3.039539367935622</v>
      </c>
      <c r="AR110" s="8">
        <v>-5.0158522944636026</v>
      </c>
      <c r="AS110"/>
      <c r="AT110"/>
      <c r="AV110" s="2" t="s">
        <v>28</v>
      </c>
      <c r="AW110" s="31">
        <v>-2.4884565304863595</v>
      </c>
      <c r="AX110" s="31">
        <v>-2.5273269199379982</v>
      </c>
      <c r="AY110" s="31">
        <v>-3.5549901455968538</v>
      </c>
      <c r="AZ110" s="31">
        <v>-2.4846914304227079</v>
      </c>
      <c r="BA110" s="31">
        <v>-3.369458474365294</v>
      </c>
      <c r="BB110" s="31">
        <v>-2.4856036913463178</v>
      </c>
      <c r="BC110"/>
      <c r="BD110"/>
      <c r="DA110" s="3" t="s">
        <v>38</v>
      </c>
      <c r="DB110" s="2"/>
      <c r="DC110" s="2"/>
      <c r="DE110" s="2"/>
      <c r="DF110" s="2"/>
      <c r="DG110" s="2"/>
      <c r="DH110" s="2"/>
      <c r="DK110" s="2" t="s">
        <v>27</v>
      </c>
      <c r="DL110" s="2" t="s">
        <v>27</v>
      </c>
      <c r="DM110" s="2" t="s">
        <v>27</v>
      </c>
      <c r="DN110" s="2" t="s">
        <v>27</v>
      </c>
      <c r="DO110" s="2" t="s">
        <v>27</v>
      </c>
      <c r="DP110" s="2" t="s">
        <v>27</v>
      </c>
      <c r="DQ110" s="2" t="s">
        <v>27</v>
      </c>
      <c r="DR110" s="2" t="s">
        <v>27</v>
      </c>
    </row>
    <row r="111" spans="14:122" x14ac:dyDescent="0.5">
      <c r="AS111"/>
      <c r="AT111"/>
      <c r="BC111"/>
      <c r="BD111"/>
      <c r="DA111" s="6" cm="1">
        <f t="array" ref="DA111:DH113">CL96:CS98</f>
        <v>-3.0651633543576584</v>
      </c>
      <c r="DB111" s="6">
        <v>6.4329178630677282</v>
      </c>
      <c r="DC111" s="6">
        <v>0.17061360516498714</v>
      </c>
      <c r="DD111" s="6">
        <v>2.2006633999457055</v>
      </c>
      <c r="DE111" s="6">
        <v>2.9758930301067279</v>
      </c>
      <c r="DF111" s="6">
        <v>4.7236441280376766</v>
      </c>
      <c r="DG111" s="6">
        <v>0.51482830386848977</v>
      </c>
      <c r="DH111" s="6">
        <v>0.35900548887437123</v>
      </c>
      <c r="DJ111" s="2" t="s">
        <v>28</v>
      </c>
      <c r="DK111" s="29" cm="1">
        <f t="array" ref="DK111:DR113">MMULT(_xlfn.ANCHORARRAY(DA111),DK101:DR108)</f>
        <v>-3.0651633543576584</v>
      </c>
      <c r="DL111" s="29">
        <v>6.4328893111137129</v>
      </c>
      <c r="DM111" s="29">
        <v>-9.6168375095677577E-2</v>
      </c>
      <c r="DN111" s="29">
        <v>-0.9045355728128025</v>
      </c>
      <c r="DO111" s="29">
        <v>6.4321506083954185</v>
      </c>
      <c r="DP111" s="29">
        <v>6.2623716743555153</v>
      </c>
      <c r="DQ111" s="29">
        <v>1.546102559272063</v>
      </c>
      <c r="DR111" s="29">
        <v>1.1673328852194036</v>
      </c>
    </row>
    <row r="112" spans="14:122" x14ac:dyDescent="0.5">
      <c r="AW112"/>
      <c r="AX112"/>
      <c r="AY112"/>
      <c r="AZ112"/>
      <c r="BA112"/>
      <c r="BB112"/>
      <c r="BC112"/>
      <c r="BD112"/>
      <c r="DA112" s="7">
        <v>-2.5610909238413009</v>
      </c>
      <c r="DB112" s="7">
        <v>1.7160999088337145</v>
      </c>
      <c r="DC112" s="7">
        <v>-1.9439826972709153</v>
      </c>
      <c r="DD112" s="7">
        <v>-2.1794520011585901</v>
      </c>
      <c r="DE112" s="7">
        <v>-2.2064534704847047</v>
      </c>
      <c r="DF112" s="7">
        <v>-0.17022829636441061</v>
      </c>
      <c r="DG112" s="7">
        <v>-1.1260096462957612</v>
      </c>
      <c r="DH112" s="7">
        <v>-1.0892335174206125</v>
      </c>
      <c r="DJ112" s="2" t="s">
        <v>28</v>
      </c>
      <c r="DK112" s="30">
        <v>-2.5610909238413009</v>
      </c>
      <c r="DL112" s="30">
        <v>1.7160870512729951</v>
      </c>
      <c r="DM112" s="30">
        <v>-1.9915304197030534</v>
      </c>
      <c r="DN112" s="30">
        <v>-2.149023568451506</v>
      </c>
      <c r="DO112" s="30">
        <v>1.715341874060657</v>
      </c>
      <c r="DP112" s="30">
        <v>1.5677315348027716</v>
      </c>
      <c r="DQ112" s="30">
        <v>-1.330437800854682</v>
      </c>
      <c r="DR112" s="30">
        <v>-1.4359155860479214</v>
      </c>
    </row>
    <row r="113" spans="15:122" x14ac:dyDescent="0.5">
      <c r="AW113"/>
      <c r="AX113"/>
      <c r="AY113"/>
      <c r="AZ113"/>
      <c r="BA113"/>
      <c r="BB113"/>
      <c r="BC113"/>
      <c r="BD113"/>
      <c r="DA113" s="8">
        <v>0.52277198171626837</v>
      </c>
      <c r="DB113" s="8">
        <v>5.9779892568737214</v>
      </c>
      <c r="DC113" s="8">
        <v>2.1738807279175179</v>
      </c>
      <c r="DD113" s="8">
        <v>2.2159760559916535</v>
      </c>
      <c r="DE113" s="8">
        <v>4.1939684990286494</v>
      </c>
      <c r="DF113" s="8">
        <v>3.1540058199206671</v>
      </c>
      <c r="DG113" s="8">
        <v>1.115022629275418</v>
      </c>
      <c r="DH113" s="8">
        <v>1.0830191999144021</v>
      </c>
      <c r="DJ113" s="2" t="s">
        <v>28</v>
      </c>
      <c r="DK113" s="31">
        <v>0.52277198171626837</v>
      </c>
      <c r="DL113" s="31">
        <v>5.977972858075983</v>
      </c>
      <c r="DM113" s="31">
        <v>2.0385731367019995</v>
      </c>
      <c r="DN113" s="31">
        <v>1.6252693362605855</v>
      </c>
      <c r="DO113" s="31">
        <v>5.9775749354657828</v>
      </c>
      <c r="DP113" s="31">
        <v>5.8825879553715188</v>
      </c>
      <c r="DQ113" s="31">
        <v>3.0842816104630146</v>
      </c>
      <c r="DR113" s="31">
        <v>2.7831119858873539</v>
      </c>
    </row>
    <row r="114" spans="15:122" x14ac:dyDescent="0.5">
      <c r="AW114" s="29" cm="1">
        <f t="array" ref="AW114:BB116">_xlfn.ANCHORARRAY(AW83)</f>
        <v>6.8194519446457385</v>
      </c>
      <c r="AX114" s="29">
        <v>4.2386800815832935</v>
      </c>
      <c r="AY114" s="29">
        <v>5.0893291030970502</v>
      </c>
      <c r="AZ114" s="29">
        <v>4.9347145280551468</v>
      </c>
      <c r="BA114" s="29">
        <v>5.0672990199242403</v>
      </c>
      <c r="BB114" s="29">
        <v>5.0476049175407267</v>
      </c>
      <c r="BC114"/>
      <c r="BD114"/>
    </row>
    <row r="115" spans="15:122" x14ac:dyDescent="0.5">
      <c r="AW115" s="30">
        <v>6.6501160508333568</v>
      </c>
      <c r="AX115" s="30">
        <v>3.8599787447896623</v>
      </c>
      <c r="AY115" s="30">
        <v>5.3709520842277527</v>
      </c>
      <c r="AZ115" s="30">
        <v>5.1196537801091377</v>
      </c>
      <c r="BA115" s="30">
        <v>5.343922281662671</v>
      </c>
      <c r="BB115" s="30">
        <v>5.3038614856412085</v>
      </c>
      <c r="BC115"/>
      <c r="BD115"/>
      <c r="CV115" s="3" t="s">
        <v>30</v>
      </c>
    </row>
    <row r="116" spans="15:122" x14ac:dyDescent="0.5">
      <c r="AW116" s="31">
        <v>-1.7830463131539429</v>
      </c>
      <c r="AX116" s="31">
        <v>-6.2244433052342245</v>
      </c>
      <c r="AY116" s="31">
        <v>-5.8103571084655989</v>
      </c>
      <c r="AZ116" s="31">
        <v>-5.8592909820500543</v>
      </c>
      <c r="BA116" s="31">
        <v>-5.8138419237330465</v>
      </c>
      <c r="BB116" s="31">
        <v>-5.8340258464048</v>
      </c>
      <c r="BC116"/>
      <c r="BD116"/>
      <c r="CV116" s="2">
        <v>2</v>
      </c>
      <c r="CX116" s="2"/>
      <c r="DA116" s="2" t="s">
        <v>33</v>
      </c>
    </row>
    <row r="117" spans="15:122" x14ac:dyDescent="0.5">
      <c r="AW117" s="29" cm="1">
        <f t="array" ref="AW117:BB119">_xlfn.ANCHORARRAY(AW108)</f>
        <v>0.9250216213253587</v>
      </c>
      <c r="AX117" s="29">
        <v>0.93905271256835054</v>
      </c>
      <c r="AY117" s="29">
        <v>6.4681229532990576</v>
      </c>
      <c r="AZ117" s="29">
        <v>0.92201574519417906</v>
      </c>
      <c r="BA117" s="29">
        <v>6.3064659467897819</v>
      </c>
      <c r="BB117" s="29">
        <v>0.92989200326376409</v>
      </c>
      <c r="BC117"/>
      <c r="BD117"/>
      <c r="CV117" s="2"/>
      <c r="CW117" s="2"/>
      <c r="CX117" s="2"/>
      <c r="DA117" s="6" cm="1">
        <f t="array" ref="DA117:DH119">CL73:CS75</f>
        <v>6.0004567705428791</v>
      </c>
      <c r="DB117" s="6">
        <v>1.5616880942143556</v>
      </c>
      <c r="DC117" s="6">
        <v>7.8872211188526267</v>
      </c>
      <c r="DD117" s="6">
        <v>6.4122314348016847</v>
      </c>
      <c r="DE117" s="6">
        <v>8.5029870318974261</v>
      </c>
      <c r="DF117" s="6">
        <v>5.4372292005634337</v>
      </c>
      <c r="DG117" s="6">
        <v>2.3377049054764605</v>
      </c>
      <c r="DH117" s="6">
        <v>2.2470224653197506</v>
      </c>
    </row>
    <row r="118" spans="15:122" x14ac:dyDescent="0.5">
      <c r="AW118" s="30">
        <v>-6.0859223613176621</v>
      </c>
      <c r="AX118" s="30">
        <v>-6.0384983813889548</v>
      </c>
      <c r="AY118" s="30">
        <v>-1.8471231111607811</v>
      </c>
      <c r="AZ118" s="30">
        <v>-6.0913872418767454</v>
      </c>
      <c r="BA118" s="30">
        <v>-1.8870833956223225</v>
      </c>
      <c r="BB118" s="30">
        <v>-6.0864353467019798</v>
      </c>
      <c r="BC118"/>
      <c r="BD118"/>
      <c r="CV118" s="2"/>
      <c r="CW118" s="2"/>
      <c r="CX118" s="2"/>
      <c r="DA118" s="7">
        <v>-0.74941024894487041</v>
      </c>
      <c r="DB118" s="7">
        <v>6.0375909366397744</v>
      </c>
      <c r="DC118" s="7">
        <v>2.9586871242474575</v>
      </c>
      <c r="DD118" s="7">
        <v>2.3630636703498684</v>
      </c>
      <c r="DE118" s="7">
        <v>1.7206446256153463</v>
      </c>
      <c r="DF118" s="7">
        <v>4.202389492095115</v>
      </c>
      <c r="DG118" s="7">
        <v>-1.1743863840733764</v>
      </c>
      <c r="DH118" s="7">
        <v>-1.4370371857763615</v>
      </c>
    </row>
    <row r="119" spans="15:122" x14ac:dyDescent="0.5">
      <c r="AW119" s="31">
        <v>-2.4884565304863595</v>
      </c>
      <c r="AX119" s="31">
        <v>-2.5273269199379982</v>
      </c>
      <c r="AY119" s="31">
        <v>-3.5549901455968538</v>
      </c>
      <c r="AZ119" s="31">
        <v>-2.4846914304227079</v>
      </c>
      <c r="BA119" s="31">
        <v>-3.369458474365294</v>
      </c>
      <c r="BB119" s="31">
        <v>-2.4856036913463178</v>
      </c>
      <c r="BC119"/>
      <c r="BD119"/>
      <c r="CV119" s="2"/>
      <c r="CW119" s="2"/>
      <c r="CX119" s="2"/>
      <c r="DA119" s="8">
        <v>-0.76003864531554033</v>
      </c>
      <c r="DB119" s="8">
        <v>-4.7876744800866611</v>
      </c>
      <c r="DC119" s="8">
        <v>-2.5891861936864924</v>
      </c>
      <c r="DD119" s="8">
        <v>-2.5957289053774417</v>
      </c>
      <c r="DE119" s="8">
        <v>-2.6874005672972072</v>
      </c>
      <c r="DF119" s="8">
        <v>-2.7801123580392213</v>
      </c>
      <c r="DG119" s="8">
        <v>-0.85085591807470151</v>
      </c>
      <c r="DH119" s="8">
        <v>-0.90001015775569304</v>
      </c>
    </row>
    <row r="120" spans="15:122" x14ac:dyDescent="0.5">
      <c r="O120" s="91" t="s">
        <v>40</v>
      </c>
      <c r="AW120" s="2" t="s">
        <v>27</v>
      </c>
      <c r="AX120" s="2" t="s">
        <v>27</v>
      </c>
      <c r="AY120" s="2" t="s">
        <v>27</v>
      </c>
      <c r="AZ120" s="2" t="s">
        <v>27</v>
      </c>
      <c r="BA120" s="2" t="s">
        <v>27</v>
      </c>
      <c r="BB120" s="2" t="s">
        <v>27</v>
      </c>
      <c r="BC120"/>
      <c r="BD120"/>
      <c r="CV120" s="2"/>
      <c r="CW120" s="2"/>
      <c r="CX120" s="2"/>
      <c r="CZ120" s="2"/>
      <c r="DA120" s="2"/>
      <c r="DB120" s="2"/>
      <c r="DC120" s="2"/>
      <c r="DD120" s="2"/>
    </row>
    <row r="121" spans="15:122" x14ac:dyDescent="0.5">
      <c r="O121" s="60">
        <v>0</v>
      </c>
      <c r="P121" s="61">
        <v>0</v>
      </c>
      <c r="Q121" s="61">
        <v>1</v>
      </c>
      <c r="R121" s="61">
        <v>1</v>
      </c>
      <c r="S121" s="61">
        <v>0</v>
      </c>
      <c r="T121" s="62">
        <v>-1</v>
      </c>
      <c r="U121" s="2" t="s">
        <v>28</v>
      </c>
      <c r="AW121" s="6" cm="1">
        <f t="array" ref="AW121:BB125">MMULT(O121:T125,AW114:BB119)</f>
        <v>1.6304318386577754</v>
      </c>
      <c r="AX121" s="6">
        <v>-2.758063672727876</v>
      </c>
      <c r="AY121" s="6">
        <v>4.2127559904303125</v>
      </c>
      <c r="AZ121" s="6">
        <v>-2.4525838064331671</v>
      </c>
      <c r="BA121" s="6">
        <v>3.8620824974220294</v>
      </c>
      <c r="BB121" s="6">
        <v>-2.4185301517947182</v>
      </c>
      <c r="BC121"/>
      <c r="BD121"/>
      <c r="CV121" s="2"/>
      <c r="CW121" s="2"/>
      <c r="CX121" s="2"/>
      <c r="CZ121" s="2"/>
      <c r="DA121" s="91" t="s">
        <v>52</v>
      </c>
      <c r="DB121" s="2"/>
      <c r="DC121" s="2"/>
      <c r="DD121" s="2"/>
      <c r="DJ121" s="2" t="s">
        <v>3</v>
      </c>
      <c r="DK121" s="2">
        <v>0</v>
      </c>
      <c r="DL121" s="2">
        <v>1</v>
      </c>
      <c r="DM121" s="2">
        <v>2</v>
      </c>
      <c r="DN121" s="2">
        <v>3</v>
      </c>
      <c r="DO121" s="2">
        <v>4</v>
      </c>
      <c r="DP121" s="2">
        <v>5</v>
      </c>
      <c r="DQ121" s="2">
        <v>6</v>
      </c>
      <c r="DR121" s="2">
        <v>7</v>
      </c>
    </row>
    <row r="122" spans="15:122" x14ac:dyDescent="0.5">
      <c r="O122" s="63">
        <v>1</v>
      </c>
      <c r="P122" s="20">
        <v>1</v>
      </c>
      <c r="Q122" s="20">
        <v>1</v>
      </c>
      <c r="R122" s="20">
        <v>1</v>
      </c>
      <c r="S122" s="20">
        <v>1</v>
      </c>
      <c r="T122" s="64">
        <v>-1</v>
      </c>
      <c r="U122" s="2" t="s">
        <v>28</v>
      </c>
      <c r="AW122" s="7">
        <v>9.0140774728192099</v>
      </c>
      <c r="AX122" s="7">
        <v>-0.69790322774387459</v>
      </c>
      <c r="AY122" s="7">
        <v>12.825914066594335</v>
      </c>
      <c r="AZ122" s="7">
        <v>1.5103972598543729</v>
      </c>
      <c r="BA122" s="7">
        <v>12.386220403386618</v>
      </c>
      <c r="BB122" s="7">
        <v>1.8465009046852363</v>
      </c>
      <c r="BC122"/>
      <c r="BD122"/>
      <c r="CV122" s="2"/>
      <c r="CW122" s="2" t="s">
        <v>35</v>
      </c>
      <c r="CX122" s="2"/>
      <c r="CZ122" s="2"/>
      <c r="DA122" s="2" t="s">
        <v>27</v>
      </c>
      <c r="DB122" s="2" t="s">
        <v>27</v>
      </c>
      <c r="DC122" s="2" t="s">
        <v>27</v>
      </c>
      <c r="DD122" s="2" t="s">
        <v>27</v>
      </c>
      <c r="DE122" s="2" t="s">
        <v>27</v>
      </c>
      <c r="DF122" s="2" t="s">
        <v>27</v>
      </c>
      <c r="DG122" s="2" t="s">
        <v>27</v>
      </c>
      <c r="DH122" s="2" t="s">
        <v>27</v>
      </c>
      <c r="DJ122" s="2"/>
      <c r="DK122" s="2"/>
      <c r="DL122" s="2"/>
      <c r="DM122" s="2"/>
      <c r="DN122" s="2"/>
      <c r="DO122" s="2"/>
      <c r="DP122" s="2"/>
      <c r="DQ122" s="2"/>
      <c r="DR122" s="2"/>
    </row>
    <row r="123" spans="15:122" x14ac:dyDescent="0.5">
      <c r="O123" s="63">
        <v>-1</v>
      </c>
      <c r="P123" s="20">
        <v>-1</v>
      </c>
      <c r="Q123" s="20">
        <v>-1</v>
      </c>
      <c r="R123" s="20">
        <v>-1</v>
      </c>
      <c r="S123" s="20">
        <v>-1</v>
      </c>
      <c r="T123" s="64">
        <v>1</v>
      </c>
      <c r="U123" s="2" t="s">
        <v>28</v>
      </c>
      <c r="AW123" s="7">
        <v>-9.0140774728192099</v>
      </c>
      <c r="AX123" s="7">
        <v>0.69790322774387459</v>
      </c>
      <c r="AY123" s="7">
        <v>-12.825914066594335</v>
      </c>
      <c r="AZ123" s="7">
        <v>-1.5103972598543729</v>
      </c>
      <c r="BA123" s="7">
        <v>-12.386220403386618</v>
      </c>
      <c r="BB123" s="7">
        <v>-1.8465009046852363</v>
      </c>
      <c r="BC123"/>
      <c r="BD123"/>
      <c r="CV123" s="2"/>
      <c r="CW123" s="26" cm="1">
        <f t="array" ref="CW123:CY130">TRANSPOSE(CL86:CS88)</f>
        <v>3.132305279320343</v>
      </c>
      <c r="CX123" s="27">
        <v>2.5717193202119706</v>
      </c>
      <c r="CY123" s="28">
        <v>-1.6712987588227066</v>
      </c>
      <c r="CZ123" s="2" t="s">
        <v>28</v>
      </c>
      <c r="DA123" s="6" cm="1">
        <f t="array" ref="DA123:DH130">MMULT(CW123:CY130,_xlfn.ANCHORARRAY(DA117))/SQRT(3)+DA63:DH70</f>
        <v>10.472118467910724</v>
      </c>
      <c r="DB123" s="6">
        <v>16.408472207324877</v>
      </c>
      <c r="DC123" s="6">
        <v>21.154922650876451</v>
      </c>
      <c r="DD123" s="6">
        <v>17.609438034898751</v>
      </c>
      <c r="DE123" s="6">
        <v>20.525041918025927</v>
      </c>
      <c r="DF123" s="6">
        <v>18.755123215265822</v>
      </c>
      <c r="DG123" s="6">
        <v>3.3048959524757899</v>
      </c>
      <c r="DH123" s="6">
        <v>2.7983531861495554</v>
      </c>
      <c r="DK123" s="6" cm="1">
        <f t="array" ref="DK123:DK130">SOFTMAX(DA123:DA130)</f>
        <v>1</v>
      </c>
      <c r="DL123" s="6" cm="1">
        <f t="array" ref="DL123:DL130">SOFTMAX(DB123:DB130)</f>
        <v>1.3863615143647056E-8</v>
      </c>
      <c r="DM123" s="6" cm="1">
        <f t="array" ref="DM123:DM130">SOFTMAX(DC123:DC130)</f>
        <v>3.6295276387490749E-3</v>
      </c>
      <c r="DN123" s="6" cm="1">
        <f t="array" ref="DN123:DN130">SOFTMAX(DD123:DD130)</f>
        <v>1.2119233721981785E-2</v>
      </c>
      <c r="DO123" s="6" cm="1">
        <f t="array" ref="DO123:DO130">SOFTMAX(DE123:DE130)</f>
        <v>0.12539813992895624</v>
      </c>
      <c r="DP123" s="6" cm="1">
        <f t="array" ref="DP123:DP130">SOFTMAX(DF123:DF130)</f>
        <v>3.1857380003775568E-5</v>
      </c>
      <c r="DQ123" s="6" cm="1">
        <f t="array" ref="DQ123:DQ130">SOFTMAX(DG123:DG130)</f>
        <v>0.87818437330711996</v>
      </c>
      <c r="DR123" s="6" cm="1">
        <f t="array" ref="DR123:DR130">SOFTMAX(DH123:DH130)</f>
        <v>0.73711369637519253</v>
      </c>
    </row>
    <row r="124" spans="15:122" x14ac:dyDescent="0.5">
      <c r="O124" s="63">
        <v>-1</v>
      </c>
      <c r="P124" s="20">
        <v>0</v>
      </c>
      <c r="Q124" s="20">
        <v>-1</v>
      </c>
      <c r="R124" s="20">
        <v>1</v>
      </c>
      <c r="S124" s="20">
        <v>0</v>
      </c>
      <c r="T124" s="64">
        <v>1</v>
      </c>
      <c r="U124" s="2" t="s">
        <v>28</v>
      </c>
      <c r="AW124" s="7">
        <v>-6.5998405406527976</v>
      </c>
      <c r="AX124" s="7">
        <v>0.39748901628128319</v>
      </c>
      <c r="AY124" s="7">
        <v>3.6341608130707526</v>
      </c>
      <c r="AZ124" s="7">
        <v>-0.63809923123362133</v>
      </c>
      <c r="BA124" s="7">
        <v>3.6835503762332942</v>
      </c>
      <c r="BB124" s="7">
        <v>-0.76929075921848034</v>
      </c>
      <c r="BC124"/>
      <c r="BD124"/>
      <c r="CV124" s="2"/>
      <c r="CW124" s="26">
        <v>1.722447539796385</v>
      </c>
      <c r="CX124" s="27">
        <v>9.1091655078927207</v>
      </c>
      <c r="CY124" s="28">
        <v>-0.4329221881058769</v>
      </c>
      <c r="CZ124" s="2" t="s">
        <v>28</v>
      </c>
      <c r="DA124" s="7">
        <v>-96.784125276389361</v>
      </c>
      <c r="DB124" s="7">
        <v>34.502470237781928</v>
      </c>
      <c r="DC124" s="7">
        <v>24.050917723189691</v>
      </c>
      <c r="DD124" s="7">
        <v>19.453250925775968</v>
      </c>
      <c r="DE124" s="7">
        <v>18.176730708673453</v>
      </c>
      <c r="DF124" s="7">
        <v>28.203084796184978</v>
      </c>
      <c r="DG124" s="7">
        <v>-3.6388952599855027</v>
      </c>
      <c r="DH124" s="7">
        <v>-5.0981165469141629</v>
      </c>
      <c r="DK124" s="7">
        <v>2.6254587073121327E-47</v>
      </c>
      <c r="DL124" s="7">
        <v>0.99999998613638486</v>
      </c>
      <c r="DM124" s="7">
        <v>6.5699911933532307E-2</v>
      </c>
      <c r="DN124" s="7">
        <v>7.6600732951692341E-2</v>
      </c>
      <c r="DO124" s="7">
        <v>1.1979329054289401E-2</v>
      </c>
      <c r="DP124" s="7">
        <v>0.40402443886789036</v>
      </c>
      <c r="DQ124" s="7">
        <v>8.4710159174498142E-4</v>
      </c>
      <c r="DR124" s="7">
        <v>2.7424659828441801E-4</v>
      </c>
    </row>
    <row r="125" spans="15:122" x14ac:dyDescent="0.5">
      <c r="O125" s="65">
        <v>-1</v>
      </c>
      <c r="P125" s="66">
        <v>-1</v>
      </c>
      <c r="Q125" s="66">
        <v>-1</v>
      </c>
      <c r="R125" s="66">
        <v>-1</v>
      </c>
      <c r="S125" s="66">
        <v>0</v>
      </c>
      <c r="T125" s="67">
        <v>1</v>
      </c>
      <c r="U125" s="2" t="s">
        <v>28</v>
      </c>
      <c r="AW125" s="8">
        <v>-15.099999834136872</v>
      </c>
      <c r="AX125" s="8">
        <v>-5.3405951536450802</v>
      </c>
      <c r="AY125" s="8">
        <v>-14.673037177755116</v>
      </c>
      <c r="AZ125" s="8">
        <v>-7.6017845017311183</v>
      </c>
      <c r="BA125" s="8">
        <v>-14.273303799008941</v>
      </c>
      <c r="BB125" s="8">
        <v>-7.9329362513872166</v>
      </c>
      <c r="BC125"/>
      <c r="BD125"/>
      <c r="CW125" s="26">
        <v>2.586020733454756</v>
      </c>
      <c r="CX125" s="27">
        <v>7.4918560152048652</v>
      </c>
      <c r="CY125" s="28">
        <v>-1.4236789722820431</v>
      </c>
      <c r="CZ125" s="2" t="s">
        <v>28</v>
      </c>
      <c r="DA125" s="7">
        <v>-92.657874857444284</v>
      </c>
      <c r="DB125" s="7">
        <v>-66.61790646950223</v>
      </c>
      <c r="DC125" s="7">
        <v>26.701725497179396</v>
      </c>
      <c r="DD125" s="7">
        <v>21.928560470331593</v>
      </c>
      <c r="DE125" s="7">
        <v>22.346756837530361</v>
      </c>
      <c r="DF125" s="7">
        <v>28.580265502715356</v>
      </c>
      <c r="DG125" s="7">
        <v>-0.89006318734550594</v>
      </c>
      <c r="DH125" s="7">
        <v>-2.1211291539397221</v>
      </c>
      <c r="DK125" s="7">
        <v>1.6263461280918968E-45</v>
      </c>
      <c r="DL125" s="7">
        <v>1.213328452842914E-44</v>
      </c>
      <c r="DM125" s="7">
        <v>0.93067056042771867</v>
      </c>
      <c r="DN125" s="7">
        <v>0.91042924838469119</v>
      </c>
      <c r="DO125" s="7">
        <v>0.77526795229243584</v>
      </c>
      <c r="DP125" s="7">
        <v>0.58913542151624876</v>
      </c>
      <c r="DQ125" s="7">
        <v>1.3235431315383009E-2</v>
      </c>
      <c r="DR125" s="7">
        <v>5.3830751998982214E-3</v>
      </c>
    </row>
    <row r="126" spans="15:122" x14ac:dyDescent="0.5">
      <c r="BC126"/>
      <c r="BD126"/>
      <c r="BE126"/>
      <c r="BF126"/>
      <c r="BG126"/>
      <c r="BH126"/>
      <c r="BI126"/>
      <c r="CW126" s="26">
        <v>1.8136118774117893</v>
      </c>
      <c r="CX126" s="27">
        <v>7.1382445768859011</v>
      </c>
      <c r="CY126" s="28">
        <v>1.0008695373542396</v>
      </c>
      <c r="CZ126" s="2" t="s">
        <v>28</v>
      </c>
      <c r="DA126" s="7">
        <v>-96.244696012728809</v>
      </c>
      <c r="DB126" s="7">
        <v>-75.248814921740617</v>
      </c>
      <c r="DC126" s="7">
        <v>-80.044001429397355</v>
      </c>
      <c r="DD126" s="7">
        <v>14.953048385636658</v>
      </c>
      <c r="DE126" s="7">
        <v>14.441702847451388</v>
      </c>
      <c r="DF126" s="7">
        <v>21.405941170235796</v>
      </c>
      <c r="DG126" s="7">
        <v>-2.8838435928528163</v>
      </c>
      <c r="DH126" s="7">
        <v>-4.0896542904454281</v>
      </c>
      <c r="DK126" s="7">
        <v>4.5027345503959606E-47</v>
      </c>
      <c r="DL126" s="7">
        <v>2.1658205364639591E-48</v>
      </c>
      <c r="DM126" s="7">
        <v>4.0711378247616968E-47</v>
      </c>
      <c r="DN126" s="7">
        <v>8.5078494163472683E-4</v>
      </c>
      <c r="DO126" s="7">
        <v>2.8597660403319679E-4</v>
      </c>
      <c r="DP126" s="7">
        <v>4.5127956315217069E-4</v>
      </c>
      <c r="DQ126" s="7">
        <v>1.802396230288721E-3</v>
      </c>
      <c r="DR126" s="7">
        <v>7.5181475099745634E-4</v>
      </c>
    </row>
    <row r="127" spans="15:122" x14ac:dyDescent="0.5">
      <c r="BC127"/>
      <c r="BD127"/>
      <c r="BE127"/>
      <c r="BF127"/>
      <c r="BG127"/>
      <c r="BH127"/>
      <c r="BI127"/>
      <c r="CW127" s="26">
        <v>3.1226823540840667</v>
      </c>
      <c r="CX127" s="27">
        <v>6.6144986633972582</v>
      </c>
      <c r="CY127" s="28">
        <v>1.1218132030270822</v>
      </c>
      <c r="CZ127" s="2" t="s">
        <v>28</v>
      </c>
      <c r="DA127" s="7">
        <v>-91.536058445735534</v>
      </c>
      <c r="DB127" s="7">
        <v>-76.22848751375092</v>
      </c>
      <c r="DC127" s="7">
        <v>-75.158358171874426</v>
      </c>
      <c r="DD127" s="7">
        <v>-80.096443395193688</v>
      </c>
      <c r="DE127" s="7">
        <v>20.160244461085806</v>
      </c>
      <c r="DF127" s="7">
        <v>24.050491144408412</v>
      </c>
      <c r="DG127" s="7">
        <v>-0.82132042947680239</v>
      </c>
      <c r="DH127" s="7">
        <v>-2.0196788716748735</v>
      </c>
      <c r="DK127" s="7">
        <v>4.9935759236724122E-45</v>
      </c>
      <c r="DL127" s="7">
        <v>8.131226647352649E-49</v>
      </c>
      <c r="DM127" s="7">
        <v>5.3891926967907666E-45</v>
      </c>
      <c r="DN127" s="7">
        <v>4.4704372831147803E-45</v>
      </c>
      <c r="DO127" s="7">
        <v>8.7068602120285291E-2</v>
      </c>
      <c r="DP127" s="7">
        <v>6.3527114171959397E-3</v>
      </c>
      <c r="DQ127" s="7">
        <v>1.417727289398185E-2</v>
      </c>
      <c r="DR127" s="7">
        <v>5.9578524659064398E-3</v>
      </c>
    </row>
    <row r="128" spans="15:122" x14ac:dyDescent="0.5">
      <c r="BD128"/>
      <c r="BE128"/>
      <c r="BF128"/>
      <c r="BG128"/>
      <c r="BH128"/>
      <c r="BI128"/>
      <c r="CW128" s="26">
        <v>0.38569818100859665</v>
      </c>
      <c r="CX128" s="27">
        <v>7.1527301464987465</v>
      </c>
      <c r="CY128" s="28">
        <v>1.1305606202119909</v>
      </c>
      <c r="CZ128" s="2" t="s">
        <v>28</v>
      </c>
      <c r="DA128" s="7">
        <v>-101.254687774326</v>
      </c>
      <c r="DB128" s="7">
        <v>-76.84427421834377</v>
      </c>
      <c r="DC128" s="7">
        <v>-86.715403390906673</v>
      </c>
      <c r="DD128" s="7">
        <v>-89.507833950017016</v>
      </c>
      <c r="DE128" s="7">
        <v>-91.755048518533798</v>
      </c>
      <c r="DF128" s="7">
        <v>16.750433498415063</v>
      </c>
      <c r="DG128" s="7">
        <v>-4.8845937548141416</v>
      </c>
      <c r="DH128" s="7">
        <v>-6.0215224168691961</v>
      </c>
      <c r="DK128" s="7">
        <v>3.0037554259878286E-49</v>
      </c>
      <c r="DL128" s="7">
        <v>4.3926166032705121E-49</v>
      </c>
      <c r="DM128" s="7">
        <v>5.1565917189973357E-50</v>
      </c>
      <c r="DN128" s="7">
        <v>3.6562427430668703E-49</v>
      </c>
      <c r="DO128" s="7">
        <v>2.1660445779690281E-50</v>
      </c>
      <c r="DP128" s="7">
        <v>4.2912555091157726E-6</v>
      </c>
      <c r="DQ128" s="7">
        <v>2.437448875877778E-4</v>
      </c>
      <c r="DR128" s="7">
        <v>1.0892088853101686E-4</v>
      </c>
    </row>
    <row r="129" spans="25:122" x14ac:dyDescent="0.5">
      <c r="BD129"/>
      <c r="BE129"/>
      <c r="BF129"/>
      <c r="BG129"/>
      <c r="BH129"/>
      <c r="BI129"/>
      <c r="CW129" s="26">
        <v>1.5793797866519537</v>
      </c>
      <c r="CX129" s="27">
        <v>0.80247918029708609</v>
      </c>
      <c r="CY129" s="28">
        <v>1.1075150044153494</v>
      </c>
      <c r="CZ129" s="2" t="s">
        <v>28</v>
      </c>
      <c r="DA129" s="7">
        <v>-94.361648877120018</v>
      </c>
      <c r="DB129" s="7">
        <v>-97.840035001785807</v>
      </c>
      <c r="DC129" s="7">
        <v>-92.092789302034788</v>
      </c>
      <c r="DD129" s="7">
        <v>-93.717909334672754</v>
      </c>
      <c r="DE129" s="7">
        <v>-92.167699913755385</v>
      </c>
      <c r="DF129" s="7">
        <v>-93.872688618386789</v>
      </c>
      <c r="DG129" s="7">
        <v>1.043484145073599</v>
      </c>
      <c r="DH129" s="7">
        <v>0.80767531704425632</v>
      </c>
      <c r="DK129" s="7">
        <v>2.959874689156373E-46</v>
      </c>
      <c r="DL129" s="7">
        <v>3.3448777312558733E-58</v>
      </c>
      <c r="DM129" s="7">
        <v>2.3822850128858492E-52</v>
      </c>
      <c r="DN129" s="7">
        <v>5.4277834626919994E-51</v>
      </c>
      <c r="DO129" s="7">
        <v>1.4336897041428381E-50</v>
      </c>
      <c r="DP129" s="7">
        <v>3.8866270393837011E-54</v>
      </c>
      <c r="DQ129" s="7">
        <v>9.1509679773893848E-2</v>
      </c>
      <c r="DR129" s="7">
        <v>0.10069179133373153</v>
      </c>
    </row>
    <row r="130" spans="25:122" x14ac:dyDescent="0.5">
      <c r="AT130" s="78"/>
      <c r="BD130"/>
      <c r="BE130"/>
      <c r="BF130"/>
      <c r="BG130"/>
      <c r="BH130"/>
      <c r="BI130"/>
      <c r="CW130" s="26">
        <v>1.7143344101757059</v>
      </c>
      <c r="CX130" s="27">
        <v>0.55220648939994399</v>
      </c>
      <c r="CY130" s="28">
        <v>1.0806312405156571</v>
      </c>
      <c r="CZ130" s="2" t="s">
        <v>28</v>
      </c>
      <c r="DA130" s="8">
        <v>-93.774033895459993</v>
      </c>
      <c r="DB130" s="8">
        <v>-98.516444946552966</v>
      </c>
      <c r="DC130" s="8">
        <v>-91.865575736913684</v>
      </c>
      <c r="DD130" s="8">
        <v>-93.519455029967148</v>
      </c>
      <c r="DE130" s="8">
        <v>-91.712092900327548</v>
      </c>
      <c r="DF130" s="8">
        <v>-94.013114188640927</v>
      </c>
      <c r="DG130" s="8">
        <v>-97.591471635221978</v>
      </c>
      <c r="DH130" s="8">
        <v>1.2043685848433605</v>
      </c>
      <c r="DK130" s="8">
        <v>5.326859829406326E-46</v>
      </c>
      <c r="DL130" s="8">
        <v>1.7006664360641575E-58</v>
      </c>
      <c r="DM130" s="8">
        <v>2.9900008798334533E-52</v>
      </c>
      <c r="DN130" s="8">
        <v>6.6192704055401515E-51</v>
      </c>
      <c r="DO130" s="8">
        <v>2.2611156622816602E-50</v>
      </c>
      <c r="DP130" s="8">
        <v>3.3774335834564969E-54</v>
      </c>
      <c r="DQ130" s="8">
        <v>1.3330609832502609E-44</v>
      </c>
      <c r="DR130" s="8">
        <v>0.14971860238745821</v>
      </c>
    </row>
    <row r="131" spans="25:122" x14ac:dyDescent="0.5">
      <c r="BC131"/>
      <c r="BD131"/>
      <c r="BE131"/>
      <c r="BF131"/>
      <c r="BG131"/>
      <c r="BH131"/>
      <c r="BI131"/>
    </row>
    <row r="132" spans="25:122" x14ac:dyDescent="0.5">
      <c r="BC132"/>
      <c r="BD132"/>
      <c r="BE132"/>
      <c r="BF132"/>
      <c r="BG132"/>
      <c r="BH132"/>
      <c r="BI132"/>
      <c r="DA132" s="3" t="s">
        <v>38</v>
      </c>
      <c r="DB132" s="2"/>
      <c r="DC132" s="2"/>
      <c r="DE132" s="2"/>
      <c r="DF132" s="2"/>
      <c r="DG132" s="2"/>
      <c r="DH132" s="2"/>
      <c r="DK132" s="2" t="s">
        <v>27</v>
      </c>
      <c r="DL132" s="2" t="s">
        <v>27</v>
      </c>
      <c r="DM132" s="2" t="s">
        <v>27</v>
      </c>
      <c r="DN132" s="2" t="s">
        <v>27</v>
      </c>
      <c r="DO132" s="2" t="s">
        <v>27</v>
      </c>
      <c r="DP132" s="2" t="s">
        <v>27</v>
      </c>
      <c r="DQ132" s="2" t="s">
        <v>27</v>
      </c>
      <c r="DR132" s="2" t="s">
        <v>27</v>
      </c>
    </row>
    <row r="133" spans="25:122" x14ac:dyDescent="0.5">
      <c r="Z133" s="6" cm="1">
        <f t="array" ref="Z133:AE137">_xlfn.ANCHORARRAY(AW121)+_xlfn.ANCHORARRAY(Z50)</f>
        <v>5.5522282847361435</v>
      </c>
      <c r="AA133" s="6">
        <v>1.2294031630013951</v>
      </c>
      <c r="AB133" s="6">
        <v>5.2107661148620821</v>
      </c>
      <c r="AC133" s="6">
        <v>1.5471007314820429</v>
      </c>
      <c r="AD133" s="6">
        <v>4.8620324978386948</v>
      </c>
      <c r="AE133" s="6">
        <v>0.58146192374978556</v>
      </c>
      <c r="BC133"/>
      <c r="BD133"/>
      <c r="BE133"/>
      <c r="BF133"/>
      <c r="BG133"/>
      <c r="BH133"/>
      <c r="BI133"/>
      <c r="DA133" s="6" cm="1">
        <f t="array" ref="DA133:DH135">CL99:CS101</f>
        <v>6.9788588090127313</v>
      </c>
      <c r="DB133" s="6">
        <v>5.362301205097685</v>
      </c>
      <c r="DC133" s="6">
        <v>9.4783482360679194</v>
      </c>
      <c r="DD133" s="6">
        <v>6.8299082694274968</v>
      </c>
      <c r="DE133" s="6">
        <v>10.792348645763932</v>
      </c>
      <c r="DF133" s="6">
        <v>6.6358985313584951</v>
      </c>
      <c r="DG133" s="6">
        <v>2.4735420735068532</v>
      </c>
      <c r="DH133" s="6">
        <v>2.3397209660984775</v>
      </c>
      <c r="DJ133" s="2" t="s">
        <v>28</v>
      </c>
      <c r="DK133" s="29" cm="1">
        <f t="array" ref="DK133:DR135">MMULT(_xlfn.ANCHORARRAY(DA133),DK123:DR130)</f>
        <v>6.9788588090127313</v>
      </c>
      <c r="DL133" s="29">
        <v>5.3623012275090174</v>
      </c>
      <c r="DM133" s="29">
        <v>9.1988523426606399</v>
      </c>
      <c r="DN133" s="29">
        <v>9.1305108672374171</v>
      </c>
      <c r="DO133" s="29">
        <v>9.2292602163462512</v>
      </c>
      <c r="DP133" s="29">
        <v>7.8224250977375736</v>
      </c>
      <c r="DQ133" s="29">
        <v>6.6520039727711922</v>
      </c>
      <c r="DR133" s="29">
        <v>5.8662276374648936</v>
      </c>
    </row>
    <row r="134" spans="25:122" x14ac:dyDescent="0.5">
      <c r="Z134" s="7">
        <v>11.728790935783</v>
      </c>
      <c r="AA134" s="7">
        <v>-0.38620608189736366</v>
      </c>
      <c r="AB134" s="7">
        <v>15.951770883865088</v>
      </c>
      <c r="AC134" s="7">
        <v>3.5606138592418382</v>
      </c>
      <c r="AD134" s="7">
        <v>15.406219070079951</v>
      </c>
      <c r="AE134" s="7">
        <v>2.8544629639689267</v>
      </c>
      <c r="BC134"/>
      <c r="BD134"/>
      <c r="BE134"/>
      <c r="BF134"/>
      <c r="BG134"/>
      <c r="BH134"/>
      <c r="BI134"/>
      <c r="DA134" s="7">
        <v>4.4177678851714308</v>
      </c>
      <c r="DB134" s="7">
        <v>7.0784011139313989</v>
      </c>
      <c r="DC134" s="7">
        <v>7.5343655387970045</v>
      </c>
      <c r="DD134" s="7">
        <v>4.6504562682689077</v>
      </c>
      <c r="DE134" s="7">
        <v>8.5858951752792265</v>
      </c>
      <c r="DF134" s="7">
        <v>6.465670234994084</v>
      </c>
      <c r="DG134" s="7">
        <v>1.347532427211092</v>
      </c>
      <c r="DH134" s="7">
        <v>1.2504874486778652</v>
      </c>
      <c r="DJ134" s="2" t="s">
        <v>28</v>
      </c>
      <c r="DK134" s="30">
        <v>4.4177678851714308</v>
      </c>
      <c r="DL134" s="30">
        <v>7.0784010770454042</v>
      </c>
      <c r="DM134" s="30">
        <v>7.4930969389158166</v>
      </c>
      <c r="DN134" s="30">
        <v>7.459213967690328</v>
      </c>
      <c r="DO134" s="30">
        <v>7.2288183271999262</v>
      </c>
      <c r="DP134" s="30">
        <v>7.3554195102280042</v>
      </c>
      <c r="DQ134" s="30">
        <v>4.2403262028496904</v>
      </c>
      <c r="DR134" s="30">
        <v>3.6771572112776183</v>
      </c>
    </row>
    <row r="135" spans="25:122" x14ac:dyDescent="0.5">
      <c r="Z135" s="7">
        <v>-7.6464330158430691</v>
      </c>
      <c r="AA135" s="7">
        <v>1.5869818369388242</v>
      </c>
      <c r="AB135" s="7">
        <v>-10.843775462967569</v>
      </c>
      <c r="AC135" s="7">
        <v>0.48676477545286412</v>
      </c>
      <c r="AD135" s="7">
        <v>-10.386670369637631</v>
      </c>
      <c r="AE135" s="7">
        <v>2.1534277759688605</v>
      </c>
      <c r="BC135"/>
      <c r="BD135"/>
      <c r="DA135" s="8">
        <v>2.6423073325037301</v>
      </c>
      <c r="DB135" s="8">
        <v>10.252079107554158</v>
      </c>
      <c r="DC135" s="8">
        <v>8.0289346420832146</v>
      </c>
      <c r="DD135" s="8">
        <v>10.642215078903082</v>
      </c>
      <c r="DE135" s="8">
        <v>6.9829908234642932</v>
      </c>
      <c r="DF135" s="8">
        <v>7.4007123700983906</v>
      </c>
      <c r="DG135" s="8">
        <v>1.965135263205358</v>
      </c>
      <c r="DH135" s="8">
        <v>1.6585704816777107</v>
      </c>
      <c r="DJ135" s="2" t="s">
        <v>28</v>
      </c>
      <c r="DK135" s="31">
        <v>2.6423073325037301</v>
      </c>
      <c r="DL135" s="31">
        <v>10.25207900205521</v>
      </c>
      <c r="DM135" s="31">
        <v>8.1554441249804164</v>
      </c>
      <c r="DN135" s="31">
        <v>8.1361706819016995</v>
      </c>
      <c r="DO135" s="31">
        <v>7.2897718469397326</v>
      </c>
      <c r="DP135" s="31">
        <v>8.9214997783875791</v>
      </c>
      <c r="DQ135" s="31">
        <v>2.7351980137148817</v>
      </c>
      <c r="DR135" s="31">
        <v>2.4903154214819017</v>
      </c>
    </row>
    <row r="136" spans="25:122" x14ac:dyDescent="0.5">
      <c r="Z136" s="7">
        <v>-2.6000745109290353</v>
      </c>
      <c r="AA136" s="7">
        <v>1.9898267415297224</v>
      </c>
      <c r="AB136" s="7">
        <v>5.8838729257390199</v>
      </c>
      <c r="AC136" s="7">
        <v>2.4622072560657244</v>
      </c>
      <c r="AD136" s="7">
        <v>4.7235397104199279</v>
      </c>
      <c r="AE136" s="7">
        <v>0.24663285459102546</v>
      </c>
      <c r="BC136"/>
      <c r="BD136"/>
      <c r="DA136" s="2"/>
      <c r="DB136" s="2"/>
      <c r="DC136" s="2"/>
      <c r="DD136" s="2"/>
    </row>
    <row r="137" spans="25:122" x14ac:dyDescent="0.5">
      <c r="Z137" s="8">
        <v>-13.50752243741286</v>
      </c>
      <c r="AA137" s="8">
        <v>-1.6384898904469094</v>
      </c>
      <c r="AB137" s="8">
        <v>-11.722389208306314</v>
      </c>
      <c r="AC137" s="8">
        <v>-4.6096611066124948</v>
      </c>
      <c r="AD137" s="8">
        <v>-12.274553538613976</v>
      </c>
      <c r="AE137" s="8">
        <v>-4.9331343564949899</v>
      </c>
      <c r="BC137"/>
      <c r="BD137"/>
    </row>
    <row r="138" spans="25:122" x14ac:dyDescent="0.5">
      <c r="AT138" s="2"/>
      <c r="AU138" s="2"/>
      <c r="AV138" s="2"/>
      <c r="BC138"/>
      <c r="BD138"/>
    </row>
    <row r="139" spans="25:122" x14ac:dyDescent="0.5">
      <c r="Y139" s="3" t="s">
        <v>1</v>
      </c>
      <c r="AF139"/>
      <c r="AU139" s="2"/>
      <c r="BD139"/>
      <c r="DK139" s="29" cm="1">
        <f t="array" ref="DK139:DR141">_xlfn.ANCHORARRAY(DK89)</f>
        <v>7.4344888657663137</v>
      </c>
      <c r="DL139" s="29">
        <v>3.1849250591072931</v>
      </c>
      <c r="DM139" s="29">
        <v>7.276508955290204</v>
      </c>
      <c r="DN139" s="29">
        <v>3.830625022756144</v>
      </c>
      <c r="DO139" s="29">
        <v>3.184993903467531</v>
      </c>
      <c r="DP139" s="29">
        <v>3.5032185166813017</v>
      </c>
      <c r="DQ139" s="29">
        <v>4.0260806166618002</v>
      </c>
      <c r="DR139" s="29">
        <v>4.3132950089365645</v>
      </c>
    </row>
    <row r="140" spans="25:122" x14ac:dyDescent="0.5">
      <c r="Y140" s="2"/>
      <c r="Z140" s="6" cm="1">
        <f t="array" ref="Z140:Z144">NORMALIZE(Z133:Z137)</f>
        <v>0.67812502367003558</v>
      </c>
      <c r="AA140" s="6" cm="1">
        <f t="array" ref="AA140:AA144">NORMALIZE(AA133:AA137)</f>
        <v>0.44172195644987905</v>
      </c>
      <c r="AB140" s="6" cm="1">
        <f t="array" ref="AB140:AB144">NORMALIZE(AB133:AB137)</f>
        <v>0.36230197065236852</v>
      </c>
      <c r="AC140" s="6" cm="1">
        <f t="array" ref="AC140:AC144">NORMALIZE(AC133:AC137)</f>
        <v>0.27032023582739995</v>
      </c>
      <c r="AD140" s="6" cm="1">
        <f t="array" ref="AD140:AD144">NORMALIZE(AD133:AD137)</f>
        <v>0.37804058204502322</v>
      </c>
      <c r="AE140" s="6" cm="1">
        <f t="array" ref="AE140:AE144">NORMALIZE(AE133:AE137)</f>
        <v>0.13113826051090263</v>
      </c>
      <c r="AF140"/>
      <c r="AT140" s="2"/>
      <c r="AU140" s="2"/>
      <c r="BD140"/>
      <c r="DK140" s="30">
        <v>2.3828950303754728</v>
      </c>
      <c r="DL140" s="30">
        <v>7.7600384764361596</v>
      </c>
      <c r="DM140" s="30">
        <v>2.635380723271024</v>
      </c>
      <c r="DN140" s="30">
        <v>6.5071025301569962</v>
      </c>
      <c r="DO140" s="30">
        <v>7.7599994698489958</v>
      </c>
      <c r="DP140" s="30">
        <v>7.0854311472553331</v>
      </c>
      <c r="DQ140" s="30">
        <v>6.3736591506086784</v>
      </c>
      <c r="DR140" s="30">
        <v>5.0993301784896437</v>
      </c>
    </row>
    <row r="141" spans="25:122" x14ac:dyDescent="0.5">
      <c r="Y141" s="32"/>
      <c r="Z141" s="7">
        <v>1.289865263864401</v>
      </c>
      <c r="AA141" s="7">
        <v>-0.61852179156099252</v>
      </c>
      <c r="AB141" s="7">
        <v>1.264212139192354</v>
      </c>
      <c r="AC141" s="7">
        <v>0.90491988346795638</v>
      </c>
      <c r="AD141" s="7">
        <v>1.2848203492247023</v>
      </c>
      <c r="AE141" s="7">
        <v>0.87467425527801079</v>
      </c>
      <c r="AF141"/>
      <c r="AT141" s="32"/>
      <c r="AU141" s="32"/>
      <c r="BD141"/>
      <c r="DK141" s="31">
        <v>2.4609638082317273</v>
      </c>
      <c r="DL141" s="31">
        <v>-0.52282510783525948</v>
      </c>
      <c r="DM141" s="31">
        <v>2.3591207304647388</v>
      </c>
      <c r="DN141" s="31">
        <v>0.99394724652314892</v>
      </c>
      <c r="DO141" s="31">
        <v>-0.52276633163285546</v>
      </c>
      <c r="DP141" s="31">
        <v>0.45252119242238559</v>
      </c>
      <c r="DQ141" s="31">
        <v>0.9272197176113407</v>
      </c>
      <c r="DR141" s="31">
        <v>1.3846663205546315</v>
      </c>
    </row>
    <row r="142" spans="25:122" x14ac:dyDescent="0.5">
      <c r="Z142" s="7">
        <v>-0.62909918669103471</v>
      </c>
      <c r="AA142" s="7">
        <v>0.67638300129177986</v>
      </c>
      <c r="AB142" s="7">
        <v>-0.98577994642107247</v>
      </c>
      <c r="AC142" s="7">
        <v>-6.3866224047026285E-2</v>
      </c>
      <c r="AD142" s="7">
        <v>-0.93331853904298689</v>
      </c>
      <c r="AE142" s="7">
        <v>0.64535412446710616</v>
      </c>
      <c r="AF142"/>
      <c r="BD142"/>
      <c r="DK142" s="29" cm="1">
        <f t="array" ref="DK142:DR144">_xlfn.ANCHORARRAY(DK111)</f>
        <v>-3.0651633543576584</v>
      </c>
      <c r="DL142" s="29">
        <v>6.4328893111137129</v>
      </c>
      <c r="DM142" s="29">
        <v>-9.6168375095677577E-2</v>
      </c>
      <c r="DN142" s="29">
        <v>-0.9045355728128025</v>
      </c>
      <c r="DO142" s="29">
        <v>6.4321506083954185</v>
      </c>
      <c r="DP142" s="29">
        <v>6.2623716743555153</v>
      </c>
      <c r="DQ142" s="29">
        <v>1.546102559272063</v>
      </c>
      <c r="DR142" s="29">
        <v>1.1673328852194036</v>
      </c>
    </row>
    <row r="143" spans="25:122" x14ac:dyDescent="0.5">
      <c r="Y143" s="2"/>
      <c r="Z143" s="7">
        <v>-0.12929683086456714</v>
      </c>
      <c r="AA143" s="7">
        <v>0.94075001507257849</v>
      </c>
      <c r="AB143" s="7">
        <v>0.41882199743751453</v>
      </c>
      <c r="AC143" s="7">
        <v>0.55873468421020533</v>
      </c>
      <c r="AD143" s="7">
        <v>0.36613046866915944</v>
      </c>
      <c r="AE143" s="7">
        <v>2.1610169406333018E-2</v>
      </c>
      <c r="AF143"/>
      <c r="AT143" s="2"/>
      <c r="AU143" s="2"/>
      <c r="BD143"/>
      <c r="DK143" s="30">
        <v>-2.5610909238413009</v>
      </c>
      <c r="DL143" s="30">
        <v>1.7160870512729951</v>
      </c>
      <c r="DM143" s="30">
        <v>-1.9915304197030534</v>
      </c>
      <c r="DN143" s="30">
        <v>-2.149023568451506</v>
      </c>
      <c r="DO143" s="30">
        <v>1.715341874060657</v>
      </c>
      <c r="DP143" s="30">
        <v>1.5677315348027716</v>
      </c>
      <c r="DQ143" s="30">
        <v>-1.330437800854682</v>
      </c>
      <c r="DR143" s="30">
        <v>-1.4359155860479214</v>
      </c>
    </row>
    <row r="144" spans="25:122" x14ac:dyDescent="0.5">
      <c r="Y144" s="2"/>
      <c r="Z144" s="8">
        <v>-1.2095942699788347</v>
      </c>
      <c r="AA144" s="8">
        <v>-1.4403331812532447</v>
      </c>
      <c r="AB144" s="8">
        <v>-1.0595561608611643</v>
      </c>
      <c r="AC144" s="8">
        <v>-1.6701085794585355</v>
      </c>
      <c r="AD144" s="8">
        <v>-1.0956728608958983</v>
      </c>
      <c r="AE144" s="8">
        <v>-1.6727768096623525</v>
      </c>
      <c r="AF144"/>
      <c r="AT144" s="2"/>
      <c r="AU144" s="2"/>
      <c r="BD144"/>
      <c r="DK144" s="31">
        <v>0.52277198171626837</v>
      </c>
      <c r="DL144" s="31">
        <v>5.977972858075983</v>
      </c>
      <c r="DM144" s="31">
        <v>2.0385731367019995</v>
      </c>
      <c r="DN144" s="31">
        <v>1.6252693362605855</v>
      </c>
      <c r="DO144" s="31">
        <v>5.9775749354657828</v>
      </c>
      <c r="DP144" s="31">
        <v>5.8825879553715188</v>
      </c>
      <c r="DQ144" s="31">
        <v>3.0842816104630146</v>
      </c>
      <c r="DR144" s="31">
        <v>2.7831119858873539</v>
      </c>
    </row>
    <row r="145" spans="15:132" x14ac:dyDescent="0.5">
      <c r="O145" s="25" t="s">
        <v>41</v>
      </c>
      <c r="P145" s="2"/>
      <c r="Q145" s="2"/>
      <c r="R145" s="2"/>
      <c r="S145" s="2"/>
      <c r="T145" s="2"/>
      <c r="Y145" s="2"/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/>
      <c r="BD145"/>
      <c r="DK145" s="29" cm="1">
        <f t="array" ref="DK145:DR147">_xlfn.ANCHORARRAY(DK133)</f>
        <v>6.9788588090127313</v>
      </c>
      <c r="DL145" s="29">
        <v>5.3623012275090174</v>
      </c>
      <c r="DM145" s="29">
        <v>9.1988523426606399</v>
      </c>
      <c r="DN145" s="29">
        <v>9.1305108672374171</v>
      </c>
      <c r="DO145" s="29">
        <v>9.2292602163462512</v>
      </c>
      <c r="DP145" s="29">
        <v>7.8224250977375736</v>
      </c>
      <c r="DQ145" s="29">
        <v>6.6520039727711922</v>
      </c>
      <c r="DR145" s="29">
        <v>5.8662276374648936</v>
      </c>
    </row>
    <row r="146" spans="15:132" x14ac:dyDescent="0.5">
      <c r="O146" s="3" t="s">
        <v>42</v>
      </c>
      <c r="P146" s="2"/>
      <c r="Q146" s="2"/>
      <c r="R146" s="2"/>
      <c r="S146" s="2"/>
      <c r="T146" s="3" t="s">
        <v>43</v>
      </c>
      <c r="Y146" s="2"/>
      <c r="Z146" s="2" t="s">
        <v>27</v>
      </c>
      <c r="AA146" s="2" t="s">
        <v>27</v>
      </c>
      <c r="AB146" s="2" t="s">
        <v>27</v>
      </c>
      <c r="AC146" s="2" t="s">
        <v>27</v>
      </c>
      <c r="AD146" s="2" t="s">
        <v>27</v>
      </c>
      <c r="AE146" s="2" t="s">
        <v>27</v>
      </c>
      <c r="AF146"/>
      <c r="BD146"/>
      <c r="DK146" s="30">
        <v>4.4177678851714308</v>
      </c>
      <c r="DL146" s="30">
        <v>7.0784010770454042</v>
      </c>
      <c r="DM146" s="30">
        <v>7.4930969389158166</v>
      </c>
      <c r="DN146" s="30">
        <v>7.459213967690328</v>
      </c>
      <c r="DO146" s="30">
        <v>7.2288183271999262</v>
      </c>
      <c r="DP146" s="30">
        <v>7.3554195102280042</v>
      </c>
      <c r="DQ146" s="30">
        <v>4.2403262028496904</v>
      </c>
      <c r="DR146" s="30">
        <v>3.6771572112776183</v>
      </c>
    </row>
    <row r="147" spans="15:132" x14ac:dyDescent="0.5">
      <c r="O147" s="16">
        <v>1</v>
      </c>
      <c r="P147" s="33">
        <v>0</v>
      </c>
      <c r="Q147" s="33">
        <v>0</v>
      </c>
      <c r="R147" s="33">
        <v>0</v>
      </c>
      <c r="S147" s="33">
        <v>0</v>
      </c>
      <c r="T147" s="34">
        <v>2</v>
      </c>
      <c r="U147" s="2" t="s">
        <v>28</v>
      </c>
      <c r="Y147" s="2"/>
      <c r="Z147" s="6" cm="1">
        <f t="array" ref="Z147:AE151">MMULT(O147:T151,Z140:AE145)</f>
        <v>2.6781250236700354</v>
      </c>
      <c r="AA147" s="6">
        <v>2.4417219564498791</v>
      </c>
      <c r="AB147" s="6">
        <v>2.3623019706523687</v>
      </c>
      <c r="AC147" s="6">
        <v>2.2703202358274002</v>
      </c>
      <c r="AD147" s="6">
        <v>2.3780405820450232</v>
      </c>
      <c r="AE147" s="6">
        <v>2.1311382605109026</v>
      </c>
      <c r="AF147"/>
      <c r="BD147"/>
      <c r="DK147" s="31">
        <v>2.6423073325037301</v>
      </c>
      <c r="DL147" s="31">
        <v>10.25207900205521</v>
      </c>
      <c r="DM147" s="31">
        <v>8.1554441249804164</v>
      </c>
      <c r="DN147" s="31">
        <v>8.1361706819016995</v>
      </c>
      <c r="DO147" s="31">
        <v>7.2897718469397326</v>
      </c>
      <c r="DP147" s="31">
        <v>8.9214997783875791</v>
      </c>
      <c r="DQ147" s="31">
        <v>2.7351980137148817</v>
      </c>
      <c r="DR147" s="31">
        <v>2.4903154214819017</v>
      </c>
    </row>
    <row r="148" spans="15:132" x14ac:dyDescent="0.5">
      <c r="O148" s="38">
        <v>0</v>
      </c>
      <c r="P148" s="20">
        <v>2</v>
      </c>
      <c r="Q148" s="2">
        <v>0</v>
      </c>
      <c r="R148" s="2">
        <v>0</v>
      </c>
      <c r="S148" s="2">
        <v>0</v>
      </c>
      <c r="T148" s="39">
        <v>3</v>
      </c>
      <c r="U148" s="2" t="s">
        <v>28</v>
      </c>
      <c r="Y148" s="2"/>
      <c r="Z148" s="7">
        <v>5.5797305277288025</v>
      </c>
      <c r="AA148" s="7">
        <v>1.762956416878015</v>
      </c>
      <c r="AB148" s="7">
        <v>5.5284242783847084</v>
      </c>
      <c r="AC148" s="7">
        <v>4.8098397669359123</v>
      </c>
      <c r="AD148" s="7">
        <v>5.5696406984494047</v>
      </c>
      <c r="AE148" s="7">
        <v>4.7493485105560218</v>
      </c>
      <c r="AF148"/>
      <c r="BD148"/>
      <c r="BY148" s="89" t="s">
        <v>40</v>
      </c>
      <c r="DK148" s="2" t="s">
        <v>27</v>
      </c>
      <c r="DL148" s="2" t="s">
        <v>27</v>
      </c>
      <c r="DM148" s="2" t="s">
        <v>27</v>
      </c>
      <c r="DN148" s="2" t="s">
        <v>27</v>
      </c>
      <c r="DO148" s="2" t="s">
        <v>27</v>
      </c>
      <c r="DP148" s="2" t="s">
        <v>27</v>
      </c>
      <c r="DQ148" s="2" t="s">
        <v>27</v>
      </c>
      <c r="DR148" s="2" t="s">
        <v>27</v>
      </c>
    </row>
    <row r="149" spans="15:132" x14ac:dyDescent="0.5">
      <c r="O149" s="38">
        <v>0</v>
      </c>
      <c r="P149" s="2">
        <v>0</v>
      </c>
      <c r="Q149" s="20">
        <v>5</v>
      </c>
      <c r="R149" s="2">
        <v>0</v>
      </c>
      <c r="S149" s="2">
        <v>0</v>
      </c>
      <c r="T149" s="39">
        <v>0</v>
      </c>
      <c r="U149" s="2" t="s">
        <v>28</v>
      </c>
      <c r="Y149" s="2"/>
      <c r="Z149" s="7">
        <v>-3.1454959334551735</v>
      </c>
      <c r="AA149" s="7">
        <v>3.3819150064588994</v>
      </c>
      <c r="AB149" s="7">
        <v>-4.9288997321053625</v>
      </c>
      <c r="AC149" s="7">
        <v>-0.31933112023513144</v>
      </c>
      <c r="AD149" s="7">
        <v>-4.6665926952149341</v>
      </c>
      <c r="AE149" s="7">
        <v>3.2267706223355308</v>
      </c>
      <c r="AF149"/>
      <c r="BD149"/>
      <c r="BY149" s="16">
        <v>0</v>
      </c>
      <c r="BZ149" s="17">
        <v>0</v>
      </c>
      <c r="CA149" s="17">
        <v>1</v>
      </c>
      <c r="CB149" s="17">
        <v>-1</v>
      </c>
      <c r="CC149" s="17">
        <v>0</v>
      </c>
      <c r="CD149" s="17">
        <v>-1</v>
      </c>
      <c r="CE149" s="17">
        <v>1</v>
      </c>
      <c r="CF149" s="17">
        <v>0</v>
      </c>
      <c r="CG149" s="18">
        <v>-1</v>
      </c>
      <c r="CH149" s="2" t="s">
        <v>28</v>
      </c>
      <c r="DK149" s="6" cm="1">
        <f t="array" ref="DK149:DR154">MMULT($BY149:$CG154,DK139:DR147)</f>
        <v>9.3399066573821194</v>
      </c>
      <c r="DL149" s="6">
        <v>-17.823465051571148</v>
      </c>
      <c r="DM149" s="6">
        <v>1.460124186538641</v>
      </c>
      <c r="DN149" s="6">
        <v>1.2675536684110842</v>
      </c>
      <c r="DO149" s="6">
        <v>-10.993003506087538</v>
      </c>
      <c r="DP149" s="6">
        <v>-12.791513117954654</v>
      </c>
      <c r="DQ149" s="6">
        <v>0.21364150693257367</v>
      </c>
      <c r="DR149" s="6">
        <v>0.81013366543086596</v>
      </c>
    </row>
    <row r="150" spans="15:132" x14ac:dyDescent="0.5">
      <c r="O150" s="38">
        <v>0</v>
      </c>
      <c r="P150" s="2">
        <v>0</v>
      </c>
      <c r="Q150" s="2">
        <v>0</v>
      </c>
      <c r="R150" s="20">
        <v>3</v>
      </c>
      <c r="S150" s="2">
        <v>0</v>
      </c>
      <c r="T150" s="39">
        <v>1</v>
      </c>
      <c r="U150" s="2" t="s">
        <v>28</v>
      </c>
      <c r="Y150" s="2"/>
      <c r="Z150" s="7">
        <v>0.61210950740629855</v>
      </c>
      <c r="AA150" s="7">
        <v>3.8222500452177357</v>
      </c>
      <c r="AB150" s="7">
        <v>2.2564659923125436</v>
      </c>
      <c r="AC150" s="7">
        <v>2.6762040526306161</v>
      </c>
      <c r="AD150" s="7">
        <v>2.0983914060074782</v>
      </c>
      <c r="AE150" s="7">
        <v>1.0648305082189991</v>
      </c>
      <c r="AF150"/>
      <c r="BD150"/>
      <c r="BY150" s="19">
        <v>1</v>
      </c>
      <c r="BZ150" s="20">
        <v>1</v>
      </c>
      <c r="CA150" s="20">
        <v>1</v>
      </c>
      <c r="CB150" s="20">
        <v>0</v>
      </c>
      <c r="CC150" s="20">
        <v>-1</v>
      </c>
      <c r="CD150" s="20">
        <v>-1</v>
      </c>
      <c r="CE150" s="20">
        <v>1</v>
      </c>
      <c r="CF150" s="20">
        <v>1</v>
      </c>
      <c r="CG150" s="21">
        <v>-1</v>
      </c>
      <c r="CH150" s="2" t="s">
        <v>28</v>
      </c>
      <c r="DK150" s="7">
        <v>23.070986008178973</v>
      </c>
      <c r="DL150" s="7">
        <v>4.9167018208584281</v>
      </c>
      <c r="DM150" s="7">
        <v>20.76047284862306</v>
      </c>
      <c r="DN150" s="7">
        <v>20.308983184653258</v>
      </c>
      <c r="DO150" s="7">
        <v>11.897616928763679</v>
      </c>
      <c r="DP150" s="7">
        <v>9.847196195762729</v>
      </c>
      <c r="DQ150" s="7">
        <v>17.730247837179487</v>
      </c>
      <c r="DR150" s="7">
        <v>16.503164535402014</v>
      </c>
    </row>
    <row r="151" spans="15:132" x14ac:dyDescent="0.5">
      <c r="O151" s="40">
        <v>0</v>
      </c>
      <c r="P151" s="41">
        <v>0</v>
      </c>
      <c r="Q151" s="41">
        <v>0</v>
      </c>
      <c r="R151" s="41">
        <v>0</v>
      </c>
      <c r="S151" s="23">
        <v>5</v>
      </c>
      <c r="T151" s="42">
        <v>2</v>
      </c>
      <c r="U151" s="2" t="s">
        <v>28</v>
      </c>
      <c r="Y151" s="2"/>
      <c r="Z151" s="8">
        <v>-4.0479713498941736</v>
      </c>
      <c r="AA151" s="8">
        <v>-5.2016659062662232</v>
      </c>
      <c r="AB151" s="8">
        <v>-3.2977808043058214</v>
      </c>
      <c r="AC151" s="8">
        <v>-6.3505428972926783</v>
      </c>
      <c r="AD151" s="8">
        <v>-3.4783643044794914</v>
      </c>
      <c r="AE151" s="8">
        <v>-6.3638840483117622</v>
      </c>
      <c r="AF151"/>
      <c r="BD151"/>
      <c r="BY151" s="19">
        <v>-1</v>
      </c>
      <c r="BZ151" s="20">
        <v>-1</v>
      </c>
      <c r="CA151" s="20">
        <v>-1</v>
      </c>
      <c r="CB151" s="20">
        <v>0</v>
      </c>
      <c r="CC151" s="20">
        <v>-1</v>
      </c>
      <c r="CD151" s="20">
        <v>1</v>
      </c>
      <c r="CE151" s="20">
        <v>-1</v>
      </c>
      <c r="CF151" s="20">
        <v>-1</v>
      </c>
      <c r="CG151" s="21">
        <v>1</v>
      </c>
      <c r="CH151" s="2" t="s">
        <v>28</v>
      </c>
      <c r="DK151" s="7">
        <v>-17.948804160496376</v>
      </c>
      <c r="DL151" s="7">
        <v>-8.3488759234044156</v>
      </c>
      <c r="DM151" s="7">
        <v>-16.777412009216953</v>
      </c>
      <c r="DN151" s="7">
        <v>-16.010936047750242</v>
      </c>
      <c r="DO151" s="7">
        <v>-15.328300676884989</v>
      </c>
      <c r="DP151" s="7">
        <v>-12.982659265368271</v>
      </c>
      <c r="DQ151" s="7">
        <v>-15.069372235470123</v>
      </c>
      <c r="DR151" s="7">
        <v>-13.631333363306172</v>
      </c>
    </row>
    <row r="152" spans="15:132" x14ac:dyDescent="0.5">
      <c r="Y152" s="2"/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/>
      <c r="BD152"/>
      <c r="BY152" s="19">
        <v>-1</v>
      </c>
      <c r="BZ152" s="20">
        <v>0</v>
      </c>
      <c r="CA152" s="20">
        <v>-1</v>
      </c>
      <c r="CB152" s="20">
        <v>-1</v>
      </c>
      <c r="CC152" s="20">
        <v>0</v>
      </c>
      <c r="CD152" s="20">
        <v>0</v>
      </c>
      <c r="CE152" s="20">
        <v>1</v>
      </c>
      <c r="CF152" s="20">
        <v>0</v>
      </c>
      <c r="CG152" s="21">
        <v>1</v>
      </c>
      <c r="CH152" s="2" t="s">
        <v>28</v>
      </c>
      <c r="DK152" s="7">
        <v>2.7908768218760791</v>
      </c>
      <c r="DL152" s="7">
        <v>6.51939096717848</v>
      </c>
      <c r="DM152" s="7">
        <v>7.8148351569817915</v>
      </c>
      <c r="DN152" s="7">
        <v>13.346644852672625</v>
      </c>
      <c r="DO152" s="7">
        <v>7.424653883055889</v>
      </c>
      <c r="DP152" s="7">
        <v>6.5258134926659501</v>
      </c>
      <c r="DQ152" s="7">
        <v>2.8877990929408699</v>
      </c>
      <c r="DR152" s="7">
        <v>1.4912488442361953</v>
      </c>
    </row>
    <row r="153" spans="15:132" x14ac:dyDescent="0.5">
      <c r="BC153"/>
      <c r="BD153"/>
      <c r="BY153" s="19">
        <v>-1</v>
      </c>
      <c r="BZ153" s="20">
        <v>-1</v>
      </c>
      <c r="CA153" s="20">
        <v>-1</v>
      </c>
      <c r="CB153" s="20">
        <v>0</v>
      </c>
      <c r="CC153" s="20">
        <v>1</v>
      </c>
      <c r="CD153" s="20">
        <v>1</v>
      </c>
      <c r="CE153" s="20">
        <v>-1</v>
      </c>
      <c r="CF153" s="20">
        <v>0</v>
      </c>
      <c r="CG153" s="21">
        <v>1</v>
      </c>
      <c r="CH153" s="2" t="s">
        <v>28</v>
      </c>
      <c r="DK153" s="7">
        <v>-18.653218123007544</v>
      </c>
      <c r="DL153" s="7">
        <v>2.1616992561869761</v>
      </c>
      <c r="DM153" s="7">
        <v>-13.267375909707244</v>
      </c>
      <c r="DN153" s="7">
        <v>-12.84976921696293</v>
      </c>
      <c r="DO153" s="7">
        <v>-4.6687986015637506</v>
      </c>
      <c r="DP153" s="7">
        <v>-2.4917766855347256</v>
      </c>
      <c r="DQ153" s="7">
        <v>-13.489921634329797</v>
      </c>
      <c r="DR153" s="7">
        <v>-12.826007324124397</v>
      </c>
    </row>
    <row r="154" spans="15:132" x14ac:dyDescent="0.5">
      <c r="BC154"/>
      <c r="BD154"/>
      <c r="BY154" s="22">
        <v>1</v>
      </c>
      <c r="BZ154" s="23">
        <v>1</v>
      </c>
      <c r="CA154" s="23">
        <v>1</v>
      </c>
      <c r="CB154" s="23">
        <v>0</v>
      </c>
      <c r="CC154" s="23">
        <v>0</v>
      </c>
      <c r="CD154" s="23">
        <v>0</v>
      </c>
      <c r="CE154" s="23">
        <v>1</v>
      </c>
      <c r="CF154" s="23">
        <v>-1</v>
      </c>
      <c r="CG154" s="24">
        <v>1</v>
      </c>
      <c r="CH154" s="2" t="s">
        <v>28</v>
      </c>
      <c r="DK154" s="8">
        <v>17.481745960718541</v>
      </c>
      <c r="DL154" s="8">
        <v>18.958117580227015</v>
      </c>
      <c r="DM154" s="8">
        <v>22.132209937751206</v>
      </c>
      <c r="DN154" s="8">
        <v>21.139142380885076</v>
      </c>
      <c r="DO154" s="8">
        <v>19.712440777769729</v>
      </c>
      <c r="DP154" s="8">
        <v>20.42967622225617</v>
      </c>
      <c r="DQ154" s="8">
        <v>16.473835268518201</v>
      </c>
      <c r="DR154" s="8">
        <v>15.476677355650015</v>
      </c>
    </row>
    <row r="155" spans="15:132" x14ac:dyDescent="0.5">
      <c r="BC155"/>
      <c r="BD155"/>
      <c r="DT155"/>
      <c r="DU155"/>
      <c r="DV155"/>
      <c r="DW155"/>
      <c r="DX155"/>
      <c r="DY155"/>
      <c r="DZ155"/>
      <c r="EA155"/>
      <c r="EB155"/>
    </row>
    <row r="156" spans="15:132" x14ac:dyDescent="0.5">
      <c r="BC156"/>
      <c r="BD156"/>
      <c r="DT156"/>
      <c r="DU156"/>
      <c r="DV156"/>
      <c r="DW156"/>
      <c r="DX156"/>
      <c r="DY156"/>
      <c r="DZ156"/>
      <c r="EA156"/>
      <c r="EB156"/>
    </row>
    <row r="157" spans="15:132" x14ac:dyDescent="0.5">
      <c r="O157" s="25" t="s">
        <v>40</v>
      </c>
      <c r="P157" s="2"/>
      <c r="Q157" s="2"/>
      <c r="R157" s="2"/>
      <c r="S157" s="2"/>
      <c r="T157" s="2"/>
      <c r="Z157" s="2" t="s">
        <v>27</v>
      </c>
      <c r="AA157" s="2" t="s">
        <v>27</v>
      </c>
      <c r="AB157" s="2" t="s">
        <v>27</v>
      </c>
      <c r="AC157" s="2" t="s">
        <v>27</v>
      </c>
      <c r="AD157" s="2" t="s">
        <v>27</v>
      </c>
      <c r="AE157" s="2" t="s">
        <v>27</v>
      </c>
      <c r="BC157"/>
      <c r="BD157"/>
      <c r="DT157"/>
      <c r="DU157"/>
      <c r="DV157"/>
      <c r="DW157"/>
      <c r="DX157"/>
      <c r="DY157"/>
      <c r="DZ157"/>
      <c r="EA157"/>
      <c r="EB157"/>
    </row>
    <row r="158" spans="15:132" x14ac:dyDescent="0.5">
      <c r="O158" s="16">
        <v>-1</v>
      </c>
      <c r="P158" s="17">
        <v>-1</v>
      </c>
      <c r="Q158" s="17">
        <v>1</v>
      </c>
      <c r="R158" s="17">
        <v>1</v>
      </c>
      <c r="S158" s="17">
        <v>-1</v>
      </c>
      <c r="T158" s="34">
        <v>0</v>
      </c>
      <c r="U158" s="2" t="s">
        <v>28</v>
      </c>
      <c r="Z158" s="6" cm="1">
        <f t="array" ref="Z158:AE169">MMULT(O158:T169,Z147:AE152)</f>
        <v>-6.7432706275535379</v>
      </c>
      <c r="AA158" s="6">
        <v>8.2011525846149631</v>
      </c>
      <c r="AB158" s="6">
        <v>-7.2653791845240754</v>
      </c>
      <c r="AC158" s="6">
        <v>1.6272558269248503</v>
      </c>
      <c r="AD158" s="6">
        <v>-7.0375182652223938</v>
      </c>
      <c r="AE158" s="6">
        <v>3.7749984077993677</v>
      </c>
      <c r="AP158" s="4"/>
      <c r="BC158"/>
      <c r="BD158"/>
      <c r="DT158"/>
      <c r="DU158"/>
      <c r="DV158"/>
      <c r="DW158"/>
      <c r="DX158"/>
      <c r="DY158"/>
      <c r="DZ158"/>
      <c r="EA158"/>
      <c r="EB158"/>
    </row>
    <row r="159" spans="15:132" x14ac:dyDescent="0.5">
      <c r="O159" s="19">
        <v>1</v>
      </c>
      <c r="P159" s="20">
        <v>0</v>
      </c>
      <c r="Q159" s="20">
        <v>1</v>
      </c>
      <c r="R159" s="20">
        <v>0</v>
      </c>
      <c r="S159" s="20">
        <v>1</v>
      </c>
      <c r="T159" s="39">
        <v>0</v>
      </c>
      <c r="U159" s="2" t="s">
        <v>28</v>
      </c>
      <c r="Z159" s="7">
        <v>-4.5153422596793114</v>
      </c>
      <c r="AA159" s="7">
        <v>0.62197105664255581</v>
      </c>
      <c r="AB159" s="7">
        <v>-5.8643785657588152</v>
      </c>
      <c r="AC159" s="7">
        <v>-4.3995537817004093</v>
      </c>
      <c r="AD159" s="7">
        <v>-5.7669164176494023</v>
      </c>
      <c r="AE159" s="7">
        <v>-1.0059751654653288</v>
      </c>
      <c r="BC159"/>
      <c r="BD159"/>
      <c r="DO159" s="2"/>
      <c r="DR159" s="2"/>
      <c r="DT159"/>
      <c r="DU159"/>
      <c r="DV159"/>
      <c r="DW159"/>
      <c r="DX159"/>
      <c r="DY159"/>
      <c r="DZ159"/>
      <c r="EA159"/>
      <c r="EB159"/>
    </row>
    <row r="160" spans="15:132" x14ac:dyDescent="0.5">
      <c r="O160" s="19">
        <v>-1</v>
      </c>
      <c r="P160" s="20">
        <v>1</v>
      </c>
      <c r="Q160" s="20">
        <v>-1</v>
      </c>
      <c r="R160" s="20">
        <v>1</v>
      </c>
      <c r="S160" s="20">
        <v>1</v>
      </c>
      <c r="T160" s="39">
        <v>-1</v>
      </c>
      <c r="U160" s="2" t="s">
        <v>28</v>
      </c>
      <c r="Z160" s="7">
        <v>1.6112395950260661</v>
      </c>
      <c r="AA160" s="7">
        <v>-6.4400964070792508</v>
      </c>
      <c r="AB160" s="7">
        <v>6.0537072278444235</v>
      </c>
      <c r="AC160" s="7">
        <v>-1.8154881933184193</v>
      </c>
      <c r="AD160" s="7">
        <v>5.4782199131473028</v>
      </c>
      <c r="AE160" s="7">
        <v>-6.9076139123831748</v>
      </c>
      <c r="BC160"/>
      <c r="BD160"/>
      <c r="DO160" s="15"/>
      <c r="DR160" s="2"/>
      <c r="DT160"/>
      <c r="DU160"/>
      <c r="DV160"/>
      <c r="DW160"/>
      <c r="DX160"/>
      <c r="DY160"/>
      <c r="DZ160"/>
      <c r="EA160"/>
      <c r="EB160"/>
    </row>
    <row r="161" spans="15:132" x14ac:dyDescent="0.5">
      <c r="O161" s="19">
        <v>0</v>
      </c>
      <c r="P161" s="20">
        <v>0</v>
      </c>
      <c r="Q161" s="20">
        <v>0</v>
      </c>
      <c r="R161" s="20">
        <v>-1</v>
      </c>
      <c r="S161" s="20">
        <v>0</v>
      </c>
      <c r="T161" s="39">
        <v>-1</v>
      </c>
      <c r="U161" s="2" t="s">
        <v>28</v>
      </c>
      <c r="Z161" s="7">
        <v>-1.6121095074062985</v>
      </c>
      <c r="AA161" s="7">
        <v>-4.8222500452177357</v>
      </c>
      <c r="AB161" s="7">
        <v>-3.2564659923125436</v>
      </c>
      <c r="AC161" s="7">
        <v>-3.6762040526306161</v>
      </c>
      <c r="AD161" s="7">
        <v>-3.0983914060074782</v>
      </c>
      <c r="AE161" s="7">
        <v>-2.0648305082189991</v>
      </c>
      <c r="BC161"/>
      <c r="BD161"/>
      <c r="CL161" s="6" cm="1">
        <f t="array" ref="CL161:CS166">_xlfn.ANCHORARRAY(CL52)+_xlfn.ANCHORARRAY(DK149)</f>
        <v>13.116666283292544</v>
      </c>
      <c r="CM161" s="6">
        <v>-16.929266626308593</v>
      </c>
      <c r="CN161" s="6">
        <v>5.410539466793824</v>
      </c>
      <c r="CO161" s="6">
        <v>4.2444353535812755</v>
      </c>
      <c r="CP161" s="6">
        <v>-8.0037563534677716</v>
      </c>
      <c r="CQ161" s="6">
        <v>-11.796508952676628</v>
      </c>
      <c r="CR161" s="6">
        <v>1.2113216100580106</v>
      </c>
      <c r="CS161" s="6">
        <v>1.8090566414714964</v>
      </c>
      <c r="DO161" s="2"/>
      <c r="DR161" s="2"/>
      <c r="DT161"/>
      <c r="DU161"/>
      <c r="DV161"/>
      <c r="DW161"/>
      <c r="DX161"/>
      <c r="DY161"/>
      <c r="DZ161"/>
      <c r="EA161"/>
      <c r="EB161"/>
    </row>
    <row r="162" spans="15:132" x14ac:dyDescent="0.5">
      <c r="O162" s="19">
        <v>-1</v>
      </c>
      <c r="P162" s="20">
        <v>0</v>
      </c>
      <c r="Q162" s="20">
        <v>0</v>
      </c>
      <c r="R162" s="20">
        <v>1</v>
      </c>
      <c r="S162" s="20">
        <v>-1</v>
      </c>
      <c r="T162" s="39">
        <v>0</v>
      </c>
      <c r="U162" s="2" t="s">
        <v>28</v>
      </c>
      <c r="Z162" s="7">
        <v>1.9819558336304368</v>
      </c>
      <c r="AA162" s="7">
        <v>6.5821939950340802</v>
      </c>
      <c r="AB162" s="7">
        <v>3.1919448259659964</v>
      </c>
      <c r="AC162" s="7">
        <v>6.7564267140958947</v>
      </c>
      <c r="AD162" s="7">
        <v>3.1987151284419464</v>
      </c>
      <c r="AE162" s="7">
        <v>5.2975762960198587</v>
      </c>
      <c r="BC162"/>
      <c r="BD162"/>
      <c r="CL162" s="7">
        <v>24.049388046648826</v>
      </c>
      <c r="CM162" s="7">
        <v>8.7173149317417575</v>
      </c>
      <c r="CN162" s="7">
        <v>22.351599965838354</v>
      </c>
      <c r="CO162" s="7">
        <v>20.72666001927907</v>
      </c>
      <c r="CP162" s="7">
        <v>14.186978542630184</v>
      </c>
      <c r="CQ162" s="7">
        <v>11.04586552655779</v>
      </c>
      <c r="CR162" s="7">
        <v>17.866085005209879</v>
      </c>
      <c r="CS162" s="7">
        <v>16.595863036180742</v>
      </c>
      <c r="DR162" s="2"/>
      <c r="DT162"/>
      <c r="DU162"/>
      <c r="DV162"/>
      <c r="DW162"/>
      <c r="DX162"/>
      <c r="DY162"/>
      <c r="DZ162"/>
      <c r="EA162"/>
      <c r="EB162"/>
    </row>
    <row r="163" spans="15:132" x14ac:dyDescent="0.5">
      <c r="O163" s="19">
        <v>0</v>
      </c>
      <c r="P163" s="20">
        <v>1</v>
      </c>
      <c r="Q163" s="20">
        <v>0</v>
      </c>
      <c r="R163" s="20">
        <v>1</v>
      </c>
      <c r="S163" s="20">
        <v>1</v>
      </c>
      <c r="T163" s="39">
        <v>1</v>
      </c>
      <c r="U163" s="2" t="s">
        <v>28</v>
      </c>
      <c r="Z163" s="7">
        <v>3.1438686852409274</v>
      </c>
      <c r="AA163" s="7">
        <v>1.3835405558295273</v>
      </c>
      <c r="AB163" s="7">
        <v>5.4871094663914306</v>
      </c>
      <c r="AC163" s="7">
        <v>2.1355009222738506</v>
      </c>
      <c r="AD163" s="7">
        <v>5.189667799977391</v>
      </c>
      <c r="AE163" s="7">
        <v>0.45029497046325861</v>
      </c>
      <c r="BC163"/>
      <c r="BD163"/>
      <c r="CL163" s="7">
        <v>-18.40443421724996</v>
      </c>
      <c r="CM163" s="7">
        <v>-6.1714997774140237</v>
      </c>
      <c r="CN163" s="7">
        <v>-16.194658398514729</v>
      </c>
      <c r="CO163" s="7">
        <v>-14.212636826384401</v>
      </c>
      <c r="CP163" s="7">
        <v>-13.423693791722844</v>
      </c>
      <c r="CQ163" s="7">
        <v>-11.027322776242665</v>
      </c>
      <c r="CR163" s="7">
        <v>-14.090186774225097</v>
      </c>
      <c r="CS163" s="7">
        <v>-12.641012664170498</v>
      </c>
      <c r="DA163" s="4"/>
      <c r="DT163"/>
      <c r="DU163"/>
      <c r="DV163"/>
      <c r="DW163"/>
      <c r="DX163"/>
      <c r="DY163"/>
      <c r="DZ163"/>
      <c r="EA163"/>
      <c r="EB163"/>
    </row>
    <row r="164" spans="15:132" x14ac:dyDescent="0.5">
      <c r="O164" s="19">
        <v>1</v>
      </c>
      <c r="P164" s="20">
        <v>0</v>
      </c>
      <c r="Q164" s="20">
        <v>1</v>
      </c>
      <c r="R164" s="20">
        <v>1</v>
      </c>
      <c r="S164" s="20">
        <v>1</v>
      </c>
      <c r="T164" s="39">
        <v>0</v>
      </c>
      <c r="U164" s="2" t="s">
        <v>28</v>
      </c>
      <c r="Z164" s="7">
        <v>-3.9032327522730133</v>
      </c>
      <c r="AA164" s="7">
        <v>4.4442211018602915</v>
      </c>
      <c r="AB164" s="7">
        <v>-3.6079125734462716</v>
      </c>
      <c r="AC164" s="7">
        <v>-1.7233497290697937</v>
      </c>
      <c r="AD164" s="7">
        <v>-3.6685250116419241</v>
      </c>
      <c r="AE164" s="7">
        <v>5.8855342753670215E-2</v>
      </c>
      <c r="BC164"/>
      <c r="BD164"/>
      <c r="CL164" s="7">
        <v>4.1953698137817002</v>
      </c>
      <c r="CM164" s="7">
        <v>10.478816332731309</v>
      </c>
      <c r="CN164" s="7">
        <v>11.768415897468712</v>
      </c>
      <c r="CO164" s="7">
        <v>17.105643565808471</v>
      </c>
      <c r="CP164" s="7">
        <v>9.9786192488887977</v>
      </c>
      <c r="CQ164" s="7">
        <v>9.9152318349746</v>
      </c>
      <c r="CR164" s="7">
        <v>3.1569553274890545</v>
      </c>
      <c r="CS164" s="7">
        <v>1.6758475678568128</v>
      </c>
      <c r="DT164"/>
      <c r="DU164"/>
      <c r="DV164"/>
      <c r="DW164"/>
      <c r="DX164"/>
      <c r="DY164"/>
      <c r="DZ164"/>
      <c r="EA164"/>
      <c r="EB164"/>
    </row>
    <row r="165" spans="15:132" x14ac:dyDescent="0.5">
      <c r="O165" s="19">
        <v>-1</v>
      </c>
      <c r="P165" s="20">
        <v>0</v>
      </c>
      <c r="Q165" s="20">
        <v>0</v>
      </c>
      <c r="R165" s="20">
        <v>1</v>
      </c>
      <c r="S165" s="20">
        <v>0</v>
      </c>
      <c r="T165" s="39">
        <v>-1</v>
      </c>
      <c r="U165" s="2" t="s">
        <v>28</v>
      </c>
      <c r="Z165" s="7">
        <v>-3.0660155162637368</v>
      </c>
      <c r="AA165" s="7">
        <v>0.3805280887678566</v>
      </c>
      <c r="AB165" s="7">
        <v>-1.1058359783398251</v>
      </c>
      <c r="AC165" s="7">
        <v>-0.59411618319678405</v>
      </c>
      <c r="AD165" s="7">
        <v>-1.279649176037545</v>
      </c>
      <c r="AE165" s="7">
        <v>-2.0663077522919036</v>
      </c>
      <c r="BC165"/>
      <c r="BD165"/>
      <c r="CL165" s="7">
        <v>-16.618345268211588</v>
      </c>
      <c r="CM165" s="7">
        <v>1.4800618936822159</v>
      </c>
      <c r="CN165" s="7">
        <v>-11.277718228612454</v>
      </c>
      <c r="CO165" s="7">
        <v>-12.37598849645568</v>
      </c>
      <c r="CP165" s="7">
        <v>-0.92623040598393658</v>
      </c>
      <c r="CQ165" s="7">
        <v>-0.61419412364435289</v>
      </c>
      <c r="CR165" s="7">
        <v>-12.547382609697282</v>
      </c>
      <c r="CS165" s="7">
        <v>-11.852817099845877</v>
      </c>
      <c r="DT165"/>
      <c r="DU165"/>
      <c r="DV165"/>
      <c r="DW165"/>
      <c r="DX165"/>
      <c r="DY165"/>
      <c r="DZ165"/>
      <c r="EA165"/>
      <c r="EB165"/>
    </row>
    <row r="166" spans="15:132" x14ac:dyDescent="0.5">
      <c r="O166" s="19">
        <v>-1</v>
      </c>
      <c r="P166" s="20">
        <v>0</v>
      </c>
      <c r="Q166" s="20">
        <v>1</v>
      </c>
      <c r="R166" s="20">
        <v>-1</v>
      </c>
      <c r="S166" s="20">
        <v>0</v>
      </c>
      <c r="T166" s="39">
        <v>1</v>
      </c>
      <c r="U166" s="2" t="s">
        <v>28</v>
      </c>
      <c r="Z166" s="7">
        <v>-5.4357304645315079</v>
      </c>
      <c r="AA166" s="7">
        <v>-1.8820569952087154</v>
      </c>
      <c r="AB166" s="7">
        <v>-8.5476676950702739</v>
      </c>
      <c r="AC166" s="7">
        <v>-4.2658554086931471</v>
      </c>
      <c r="AD166" s="7">
        <v>-8.143024683267436</v>
      </c>
      <c r="AE166" s="7">
        <v>1.0308018536056291</v>
      </c>
      <c r="BC166"/>
      <c r="BD166"/>
      <c r="CL166" s="8">
        <v>17.670570250555038</v>
      </c>
      <c r="CM166" s="8">
        <v>20.307244611683576</v>
      </c>
      <c r="CN166" s="8">
        <v>24.079358095253859</v>
      </c>
      <c r="CO166" s="8">
        <v>24.100711410009318</v>
      </c>
      <c r="CP166" s="8">
        <v>21.483612461467573</v>
      </c>
      <c r="CQ166" s="8">
        <v>22.994318695651206</v>
      </c>
      <c r="CR166" s="8">
        <v>16.871321046236709</v>
      </c>
      <c r="CS166" s="8">
        <v>15.751586620650615</v>
      </c>
      <c r="DT166"/>
      <c r="DU166"/>
      <c r="DV166"/>
      <c r="DW166"/>
      <c r="DX166"/>
      <c r="DY166"/>
      <c r="DZ166"/>
      <c r="EA166"/>
      <c r="EB166"/>
    </row>
    <row r="167" spans="15:132" x14ac:dyDescent="0.5">
      <c r="O167" s="19">
        <v>0</v>
      </c>
      <c r="P167" s="20">
        <v>0</v>
      </c>
      <c r="Q167" s="20">
        <v>0</v>
      </c>
      <c r="R167" s="20">
        <v>-1</v>
      </c>
      <c r="S167" s="20">
        <v>1</v>
      </c>
      <c r="T167" s="39">
        <v>-1</v>
      </c>
      <c r="U167" s="2" t="s">
        <v>28</v>
      </c>
      <c r="Z167" s="7">
        <v>-5.6600808573004722</v>
      </c>
      <c r="AA167" s="7">
        <v>-10.023915951483959</v>
      </c>
      <c r="AB167" s="7">
        <v>-6.5542467966183651</v>
      </c>
      <c r="AC167" s="7">
        <v>-10.026746949923295</v>
      </c>
      <c r="AD167" s="7">
        <v>-6.5767557104869692</v>
      </c>
      <c r="AE167" s="7">
        <v>-8.4287145565307604</v>
      </c>
      <c r="BC167"/>
      <c r="BD167"/>
      <c r="DT167"/>
      <c r="DU167"/>
      <c r="DV167"/>
      <c r="DW167"/>
      <c r="DX167"/>
      <c r="DY167"/>
      <c r="DZ167"/>
      <c r="EA167"/>
      <c r="EB167"/>
    </row>
    <row r="168" spans="15:132" x14ac:dyDescent="0.5">
      <c r="O168" s="19">
        <v>1</v>
      </c>
      <c r="P168" s="20">
        <v>1</v>
      </c>
      <c r="Q168" s="20">
        <v>0</v>
      </c>
      <c r="R168" s="20">
        <v>0</v>
      </c>
      <c r="S168" s="20">
        <v>-1</v>
      </c>
      <c r="T168" s="39">
        <v>0</v>
      </c>
      <c r="U168" s="2" t="s">
        <v>28</v>
      </c>
      <c r="Z168" s="7">
        <v>12.30582690129301</v>
      </c>
      <c r="AA168" s="7">
        <v>9.4063442795941175</v>
      </c>
      <c r="AB168" s="7">
        <v>11.188507053342899</v>
      </c>
      <c r="AC168" s="7">
        <v>13.430702900055991</v>
      </c>
      <c r="AD168" s="7">
        <v>11.42604558497392</v>
      </c>
      <c r="AE168" s="7">
        <v>13.244370819378688</v>
      </c>
      <c r="BC168"/>
      <c r="BD168"/>
      <c r="CK168" s="3" t="s">
        <v>1</v>
      </c>
      <c r="DT168"/>
      <c r="DU168"/>
      <c r="DV168"/>
      <c r="DW168"/>
      <c r="DX168"/>
      <c r="DY168"/>
      <c r="DZ168"/>
      <c r="EA168"/>
      <c r="EB168"/>
    </row>
    <row r="169" spans="15:132" x14ac:dyDescent="0.5">
      <c r="O169" s="22">
        <v>1</v>
      </c>
      <c r="P169" s="23">
        <v>0</v>
      </c>
      <c r="Q169" s="23">
        <v>0</v>
      </c>
      <c r="R169" s="23">
        <v>1</v>
      </c>
      <c r="S169" s="23">
        <v>-1</v>
      </c>
      <c r="T169" s="42">
        <v>0</v>
      </c>
      <c r="U169" s="2" t="s">
        <v>28</v>
      </c>
      <c r="Z169" s="8">
        <v>7.3382058809705075</v>
      </c>
      <c r="AA169" s="8">
        <v>11.465637907933838</v>
      </c>
      <c r="AB169" s="8">
        <v>7.9165487672707338</v>
      </c>
      <c r="AC169" s="8">
        <v>11.297067185750695</v>
      </c>
      <c r="AD169" s="8">
        <v>7.9547962925319933</v>
      </c>
      <c r="AE169" s="8">
        <v>9.5598528170416639</v>
      </c>
      <c r="BC169"/>
      <c r="BD169"/>
      <c r="CL169" s="6" cm="1">
        <f t="array" ref="CL169:CL174">NORMALIZE(CL161:CL166)</f>
        <v>0.50966790177860855</v>
      </c>
      <c r="CM169" s="6" cm="1">
        <f t="array" ref="CM169:CM174">NORMALIZE(CM161:CM166)</f>
        <v>-1.5077118429906613</v>
      </c>
      <c r="CN169" s="6" cm="1">
        <f t="array" ref="CN169:CN174">NORMALIZE(CN161:CN166)</f>
        <v>-3.6349174062527335E-2</v>
      </c>
      <c r="CO169" s="6" cm="1">
        <f t="array" ref="CO169:CO174">NORMALIZE(CO161:CO166)</f>
        <v>-0.13990432727955268</v>
      </c>
      <c r="CP169" s="6" cm="1">
        <f t="array" ref="CP169:CP174">NORMALIZE(CP161:CP166)</f>
        <v>-0.8776138336680207</v>
      </c>
      <c r="CQ169" s="6" cm="1">
        <f t="array" ref="CQ169:CQ174">NORMALIZE(CQ161:CQ166)</f>
        <v>-1.1096430026579875</v>
      </c>
      <c r="CR169" s="6" cm="1">
        <f t="array" ref="CR169:CR174">NORMALIZE(CR161:CR166)</f>
        <v>-6.3027254403294181E-2</v>
      </c>
      <c r="CS169" s="6" cm="1">
        <f t="array" ref="CS169:CS174">NORMALIZE(CS161:CS166)</f>
        <v>-6.3456672867204097E-3</v>
      </c>
    </row>
    <row r="170" spans="15:132" x14ac:dyDescent="0.5">
      <c r="BC170"/>
      <c r="BD170"/>
      <c r="CL170" s="7">
        <v>1.1209655001134764</v>
      </c>
      <c r="CM170" s="7">
        <v>0.43443855229696421</v>
      </c>
      <c r="CN170" s="7">
        <v>0.96921959926870471</v>
      </c>
      <c r="CO170" s="7">
        <v>0.83980100766036214</v>
      </c>
      <c r="CP170" s="7">
        <v>0.76081215166682836</v>
      </c>
      <c r="CQ170" s="7">
        <v>0.55615337996986836</v>
      </c>
      <c r="CR170" s="7">
        <v>1.1481268363262185</v>
      </c>
      <c r="CS170" s="7">
        <v>1.1564201968034027</v>
      </c>
      <c r="DC170" s="2"/>
      <c r="DD170" s="2"/>
      <c r="DE170" s="2"/>
      <c r="DF170" s="2"/>
      <c r="DG170" s="2"/>
      <c r="DH170" s="2"/>
      <c r="DI170" s="2"/>
      <c r="DJ170" s="2"/>
    </row>
    <row r="171" spans="15:132" x14ac:dyDescent="0.5">
      <c r="Y171" s="3" t="s">
        <v>0</v>
      </c>
      <c r="BC171"/>
      <c r="BD171"/>
      <c r="CL171" s="7">
        <v>-1.2528184625444725</v>
      </c>
      <c r="CM171" s="7">
        <v>-0.69305351939687165</v>
      </c>
      <c r="CN171" s="7">
        <v>-1.3187666659439941</v>
      </c>
      <c r="CO171" s="7">
        <v>-1.2369948262166339</v>
      </c>
      <c r="CP171" s="7">
        <v>-1.2777883379963024</v>
      </c>
      <c r="CQ171" s="7">
        <v>-1.0535495544293079</v>
      </c>
      <c r="CR171" s="7">
        <v>-1.1757710403252934</v>
      </c>
      <c r="CS171" s="7">
        <v>-1.1426320886974175</v>
      </c>
      <c r="DC171" s="2"/>
      <c r="DD171" s="2"/>
      <c r="DE171" s="2"/>
      <c r="DI171" s="2"/>
      <c r="DJ171" s="2"/>
    </row>
    <row r="172" spans="15:132" x14ac:dyDescent="0.5">
      <c r="Z172" s="6" cm="1">
        <f t="array" ref="Z172:AE183">RELU(_xlfn.ANCHORARRAY(Z158))</f>
        <v>0</v>
      </c>
      <c r="AA172" s="6">
        <v>8.2011525846149631</v>
      </c>
      <c r="AB172" s="6">
        <v>0</v>
      </c>
      <c r="AC172" s="6">
        <v>1.6272558269248503</v>
      </c>
      <c r="AD172" s="6">
        <v>0</v>
      </c>
      <c r="AE172" s="6">
        <v>3.7749984077993677</v>
      </c>
      <c r="BC172"/>
      <c r="BD172"/>
      <c r="CL172" s="7">
        <v>1.083812966053526E-2</v>
      </c>
      <c r="CM172" s="7">
        <v>0.5678325734255889</v>
      </c>
      <c r="CN172" s="7">
        <v>0.34103463870089901</v>
      </c>
      <c r="CO172" s="7">
        <v>0.6245673720727255</v>
      </c>
      <c r="CP172" s="7">
        <v>0.45009304953814033</v>
      </c>
      <c r="CQ172" s="7">
        <v>0.4737011149818906</v>
      </c>
      <c r="CR172" s="7">
        <v>7.8461530517771313E-2</v>
      </c>
      <c r="CS172" s="7">
        <v>-1.6820610925777101E-2</v>
      </c>
      <c r="DC172" s="2"/>
      <c r="DD172" s="2"/>
      <c r="DE172" s="2"/>
      <c r="DF172" s="2"/>
      <c r="DG172" s="2"/>
      <c r="DH172" s="2"/>
      <c r="DI172" s="2"/>
      <c r="DJ172" s="2"/>
    </row>
    <row r="173" spans="15:132" x14ac:dyDescent="0.5">
      <c r="Z173" s="7">
        <v>0</v>
      </c>
      <c r="AA173" s="7">
        <v>0.62197105664255581</v>
      </c>
      <c r="AB173" s="7">
        <v>0</v>
      </c>
      <c r="AC173" s="7">
        <v>0</v>
      </c>
      <c r="AD173" s="7">
        <v>0</v>
      </c>
      <c r="AE173" s="7">
        <v>0</v>
      </c>
      <c r="BC173"/>
      <c r="BD173"/>
      <c r="CL173" s="7">
        <v>-1.1529502038809116</v>
      </c>
      <c r="CM173" s="7">
        <v>-0.1136202140087481</v>
      </c>
      <c r="CN173" s="7">
        <v>-1.026912357562854</v>
      </c>
      <c r="CO173" s="7">
        <v>-1.1278242376743939</v>
      </c>
      <c r="CP173" s="7">
        <v>-0.35505329303994904</v>
      </c>
      <c r="CQ173" s="7">
        <v>-0.29416475154439703</v>
      </c>
      <c r="CR173" s="7">
        <v>-1.0635764968947741</v>
      </c>
      <c r="CS173" s="7">
        <v>-1.0806520456807021</v>
      </c>
      <c r="DC173" s="32"/>
      <c r="DD173" s="32"/>
      <c r="DE173" s="32"/>
      <c r="DF173" s="32"/>
      <c r="DG173" s="32"/>
      <c r="DH173" s="32"/>
      <c r="DI173" s="32"/>
      <c r="DJ173" s="32"/>
    </row>
    <row r="174" spans="15:132" x14ac:dyDescent="0.5">
      <c r="Z174" s="7">
        <v>1.6112395950260661</v>
      </c>
      <c r="AA174" s="7">
        <v>0</v>
      </c>
      <c r="AB174" s="7">
        <v>6.0537072278444235</v>
      </c>
      <c r="AC174" s="7">
        <v>0</v>
      </c>
      <c r="AD174" s="7">
        <v>5.4782199131473028</v>
      </c>
      <c r="AE174" s="7">
        <v>0</v>
      </c>
      <c r="BC174"/>
      <c r="BD174"/>
      <c r="CL174" s="8">
        <v>0.76429713487276374</v>
      </c>
      <c r="CM174" s="8">
        <v>1.3121144506737281</v>
      </c>
      <c r="CN174" s="8">
        <v>1.0717739595997715</v>
      </c>
      <c r="CO174" s="8">
        <v>1.0403550114374924</v>
      </c>
      <c r="CP174" s="8">
        <v>1.2995502634993035</v>
      </c>
      <c r="CQ174" s="8">
        <v>1.4275028136799333</v>
      </c>
      <c r="CR174" s="8">
        <v>1.0757864247793718</v>
      </c>
      <c r="CS174" s="8">
        <v>1.0900302157872144</v>
      </c>
    </row>
    <row r="175" spans="15:132" x14ac:dyDescent="0.5"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BC175"/>
      <c r="BD175"/>
      <c r="CA175" s="25" t="s">
        <v>41</v>
      </c>
      <c r="CB175" s="2"/>
      <c r="CC175" s="2"/>
      <c r="CD175" s="2"/>
      <c r="CE175" s="2"/>
      <c r="CF175" s="2"/>
      <c r="CG175" s="2"/>
      <c r="CL175" s="2">
        <v>1</v>
      </c>
      <c r="CM175" s="2">
        <v>1</v>
      </c>
      <c r="CN175" s="2">
        <v>1</v>
      </c>
      <c r="CO175" s="2">
        <v>1</v>
      </c>
      <c r="CP175" s="2">
        <v>1</v>
      </c>
      <c r="CQ175" s="2">
        <v>1</v>
      </c>
      <c r="CR175" s="2">
        <v>1</v>
      </c>
      <c r="CS175" s="2">
        <v>1</v>
      </c>
      <c r="DC175" s="2"/>
      <c r="DD175" s="2"/>
      <c r="DE175" s="2"/>
      <c r="DF175" s="2"/>
      <c r="DG175" s="2"/>
      <c r="DH175" s="2"/>
      <c r="DI175" s="2"/>
      <c r="DJ175" s="2"/>
    </row>
    <row r="176" spans="15:132" x14ac:dyDescent="0.5">
      <c r="Z176" s="7">
        <v>1.9819558336304368</v>
      </c>
      <c r="AA176" s="7">
        <v>6.5821939950340802</v>
      </c>
      <c r="AB176" s="7">
        <v>3.1919448259659964</v>
      </c>
      <c r="AC176" s="7">
        <v>6.7564267140958947</v>
      </c>
      <c r="AD176" s="7">
        <v>3.1987151284419464</v>
      </c>
      <c r="AE176" s="7">
        <v>5.2975762960198587</v>
      </c>
      <c r="BC176"/>
      <c r="BD176"/>
      <c r="CA176" s="3" t="s">
        <v>42</v>
      </c>
      <c r="CB176" s="2"/>
      <c r="CC176" s="2"/>
      <c r="CD176" s="2"/>
      <c r="CE176" s="2"/>
      <c r="CF176" s="2"/>
      <c r="CG176" s="3" t="s">
        <v>43</v>
      </c>
      <c r="CL176" s="2" t="s">
        <v>27</v>
      </c>
      <c r="CM176" s="2" t="s">
        <v>27</v>
      </c>
      <c r="CN176" s="2" t="s">
        <v>27</v>
      </c>
      <c r="CO176" s="2" t="s">
        <v>27</v>
      </c>
      <c r="CP176" s="2" t="s">
        <v>27</v>
      </c>
      <c r="CQ176" s="2" t="s">
        <v>27</v>
      </c>
      <c r="CR176" s="2" t="s">
        <v>27</v>
      </c>
      <c r="CS176" s="2" t="s">
        <v>27</v>
      </c>
      <c r="DC176" s="2"/>
      <c r="DD176" s="2"/>
      <c r="DE176" s="2"/>
      <c r="DF176" s="2"/>
      <c r="DG176" s="2"/>
      <c r="DH176" s="2"/>
      <c r="DI176" s="2"/>
      <c r="DJ176" s="2"/>
    </row>
    <row r="177" spans="8:114" x14ac:dyDescent="0.5">
      <c r="Z177" s="7">
        <v>3.1438686852409274</v>
      </c>
      <c r="AA177" s="7">
        <v>1.3835405558295273</v>
      </c>
      <c r="AB177" s="7">
        <v>5.4871094663914306</v>
      </c>
      <c r="AC177" s="7">
        <v>2.1355009222738506</v>
      </c>
      <c r="AD177" s="7">
        <v>5.189667799977391</v>
      </c>
      <c r="AE177" s="7">
        <v>0.45029497046325861</v>
      </c>
      <c r="BC177"/>
      <c r="BD177"/>
      <c r="CA177" s="16">
        <v>1</v>
      </c>
      <c r="CB177" s="33">
        <v>0</v>
      </c>
      <c r="CC177" s="33">
        <v>0</v>
      </c>
      <c r="CD177" s="33">
        <v>0</v>
      </c>
      <c r="CE177" s="33">
        <v>0</v>
      </c>
      <c r="CF177" s="33">
        <v>0</v>
      </c>
      <c r="CG177" s="34">
        <v>2</v>
      </c>
      <c r="CH177" s="2" t="s">
        <v>28</v>
      </c>
      <c r="CL177" s="6" cm="1">
        <f t="array" ref="CL177:CS182">MMULT($CA177:$CG182,CL169:CS175)</f>
        <v>2.5096679017786085</v>
      </c>
      <c r="CM177" s="6">
        <v>0.4922881570093387</v>
      </c>
      <c r="CN177" s="6">
        <v>1.9636508259374728</v>
      </c>
      <c r="CO177" s="6">
        <v>1.8600956727204474</v>
      </c>
      <c r="CP177" s="6">
        <v>1.1223861663319794</v>
      </c>
      <c r="CQ177" s="6">
        <v>0.89035699734201246</v>
      </c>
      <c r="CR177" s="6">
        <v>1.9369727455967058</v>
      </c>
      <c r="CS177" s="6">
        <v>1.9936543327132796</v>
      </c>
      <c r="DJ177" s="2"/>
    </row>
    <row r="178" spans="8:114" x14ac:dyDescent="0.5">
      <c r="Z178" s="7">
        <v>0</v>
      </c>
      <c r="AA178" s="7">
        <v>4.4442211018602915</v>
      </c>
      <c r="AB178" s="7">
        <v>0</v>
      </c>
      <c r="AC178" s="7">
        <v>0</v>
      </c>
      <c r="AD178" s="7">
        <v>0</v>
      </c>
      <c r="AE178" s="7">
        <v>5.8855342753670215E-2</v>
      </c>
      <c r="BC178"/>
      <c r="BD178"/>
      <c r="CA178" s="38">
        <v>0</v>
      </c>
      <c r="CB178" s="20">
        <v>2</v>
      </c>
      <c r="CC178" s="2">
        <v>0</v>
      </c>
      <c r="CD178" s="2">
        <v>0</v>
      </c>
      <c r="CE178" s="2">
        <v>0</v>
      </c>
      <c r="CF178" s="2">
        <v>0</v>
      </c>
      <c r="CG178" s="39">
        <v>3</v>
      </c>
      <c r="CH178" s="2" t="s">
        <v>28</v>
      </c>
      <c r="CL178" s="7">
        <v>5.2419310002269528</v>
      </c>
      <c r="CM178" s="7">
        <v>3.8688771045939285</v>
      </c>
      <c r="CN178" s="7">
        <v>4.9384391985374094</v>
      </c>
      <c r="CO178" s="7">
        <v>4.6796020153207243</v>
      </c>
      <c r="CP178" s="7">
        <v>4.5216243033336569</v>
      </c>
      <c r="CQ178" s="7">
        <v>4.1123067599397363</v>
      </c>
      <c r="CR178" s="7">
        <v>5.296253672652437</v>
      </c>
      <c r="CS178" s="7">
        <v>5.3128403936068054</v>
      </c>
      <c r="DJ178" s="2"/>
    </row>
    <row r="179" spans="8:114" x14ac:dyDescent="0.5">
      <c r="Z179" s="7">
        <v>0</v>
      </c>
      <c r="AA179" s="7">
        <v>0.3805280887678566</v>
      </c>
      <c r="AB179" s="7">
        <v>0</v>
      </c>
      <c r="AC179" s="7">
        <v>0</v>
      </c>
      <c r="AD179" s="7">
        <v>0</v>
      </c>
      <c r="AE179" s="7">
        <v>0</v>
      </c>
      <c r="BC179"/>
      <c r="BD179"/>
      <c r="CA179" s="38">
        <v>0</v>
      </c>
      <c r="CB179" s="2">
        <v>0</v>
      </c>
      <c r="CC179" s="20">
        <v>4</v>
      </c>
      <c r="CD179" s="2">
        <v>0</v>
      </c>
      <c r="CE179" s="2">
        <v>0</v>
      </c>
      <c r="CF179" s="2">
        <v>0</v>
      </c>
      <c r="CG179" s="39">
        <v>0</v>
      </c>
      <c r="CH179" s="2" t="s">
        <v>28</v>
      </c>
      <c r="CL179" s="7">
        <v>-5.01127385017789</v>
      </c>
      <c r="CM179" s="7">
        <v>-2.7722140775874866</v>
      </c>
      <c r="CN179" s="7">
        <v>-5.2750666637759762</v>
      </c>
      <c r="CO179" s="7">
        <v>-4.9479793048665357</v>
      </c>
      <c r="CP179" s="7">
        <v>-5.1111533519852097</v>
      </c>
      <c r="CQ179" s="7">
        <v>-4.2141982177172315</v>
      </c>
      <c r="CR179" s="7">
        <v>-4.7030841613011738</v>
      </c>
      <c r="CS179" s="7">
        <v>-4.57052835478967</v>
      </c>
      <c r="DJ179" s="2"/>
    </row>
    <row r="180" spans="8:114" x14ac:dyDescent="0.5"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1.0308018536056291</v>
      </c>
      <c r="BC180"/>
      <c r="BD180"/>
      <c r="CA180" s="38">
        <v>0</v>
      </c>
      <c r="CB180" s="2">
        <v>0</v>
      </c>
      <c r="CC180" s="2">
        <v>0</v>
      </c>
      <c r="CD180" s="20">
        <v>5</v>
      </c>
      <c r="CE180" s="2">
        <v>0</v>
      </c>
      <c r="CF180" s="2">
        <v>0</v>
      </c>
      <c r="CG180" s="39">
        <v>1</v>
      </c>
      <c r="CH180" s="2" t="s">
        <v>28</v>
      </c>
      <c r="CL180" s="7">
        <v>1.0541906483026764</v>
      </c>
      <c r="CM180" s="7">
        <v>3.8391628671279445</v>
      </c>
      <c r="CN180" s="7">
        <v>2.7051731935044949</v>
      </c>
      <c r="CO180" s="7">
        <v>4.122836860363627</v>
      </c>
      <c r="CP180" s="7">
        <v>3.2504652476907019</v>
      </c>
      <c r="CQ180" s="7">
        <v>3.3685055749094532</v>
      </c>
      <c r="CR180" s="7">
        <v>1.3923076525888565</v>
      </c>
      <c r="CS180" s="7">
        <v>0.91589694537111455</v>
      </c>
      <c r="DJ180" s="2"/>
    </row>
    <row r="181" spans="8:114" x14ac:dyDescent="0.5"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BC181"/>
      <c r="BD181"/>
      <c r="CA181" s="38">
        <v>0</v>
      </c>
      <c r="CB181" s="2">
        <v>0</v>
      </c>
      <c r="CC181" s="2">
        <v>0</v>
      </c>
      <c r="CD181" s="2">
        <v>0</v>
      </c>
      <c r="CE181" s="20">
        <v>4</v>
      </c>
      <c r="CF181" s="2">
        <v>0</v>
      </c>
      <c r="CG181" s="39">
        <v>4</v>
      </c>
      <c r="CH181" s="2" t="s">
        <v>28</v>
      </c>
      <c r="CL181" s="7">
        <v>-0.61180081552364651</v>
      </c>
      <c r="CM181" s="7">
        <v>3.5455191439650076</v>
      </c>
      <c r="CN181" s="7">
        <v>-0.10764943025141616</v>
      </c>
      <c r="CO181" s="7">
        <v>-0.51129695069757553</v>
      </c>
      <c r="CP181" s="7">
        <v>2.5797868278402039</v>
      </c>
      <c r="CQ181" s="7">
        <v>2.8233409938224119</v>
      </c>
      <c r="CR181" s="7">
        <v>-0.25430598757909628</v>
      </c>
      <c r="CS181" s="7">
        <v>-0.32260818272280822</v>
      </c>
      <c r="DJ181" s="2"/>
    </row>
    <row r="182" spans="8:114" x14ac:dyDescent="0.5">
      <c r="Z182" s="7">
        <v>12.30582690129301</v>
      </c>
      <c r="AA182" s="7">
        <v>9.4063442795941175</v>
      </c>
      <c r="AB182" s="7">
        <v>11.188507053342899</v>
      </c>
      <c r="AC182" s="7">
        <v>13.430702900055991</v>
      </c>
      <c r="AD182" s="7">
        <v>11.42604558497392</v>
      </c>
      <c r="AE182" s="7">
        <v>13.244370819378688</v>
      </c>
      <c r="BC182"/>
      <c r="BD182"/>
      <c r="CA182" s="40">
        <v>0</v>
      </c>
      <c r="CB182" s="41">
        <v>0</v>
      </c>
      <c r="CC182" s="41">
        <v>0</v>
      </c>
      <c r="CD182" s="41">
        <v>0</v>
      </c>
      <c r="CE182" s="41">
        <v>0</v>
      </c>
      <c r="CF182" s="23">
        <v>5</v>
      </c>
      <c r="CG182" s="42">
        <v>2</v>
      </c>
      <c r="CH182" s="2" t="s">
        <v>28</v>
      </c>
      <c r="CL182" s="8">
        <v>5.821485674363819</v>
      </c>
      <c r="CM182" s="8">
        <v>8.5605722533686404</v>
      </c>
      <c r="CN182" s="8">
        <v>7.3588697979988575</v>
      </c>
      <c r="CO182" s="8">
        <v>7.2017750571874624</v>
      </c>
      <c r="CP182" s="8">
        <v>8.4977513174965171</v>
      </c>
      <c r="CQ182" s="8">
        <v>9.1375140683996658</v>
      </c>
      <c r="CR182" s="8">
        <v>7.3789321238968588</v>
      </c>
      <c r="CS182" s="8">
        <v>7.4501510789360719</v>
      </c>
      <c r="DJ182" s="2"/>
    </row>
    <row r="183" spans="8:114" x14ac:dyDescent="0.5">
      <c r="Z183" s="8">
        <v>7.3382058809705075</v>
      </c>
      <c r="AA183" s="8">
        <v>11.465637907933838</v>
      </c>
      <c r="AB183" s="8">
        <v>7.9165487672707338</v>
      </c>
      <c r="AC183" s="8">
        <v>11.297067185750695</v>
      </c>
      <c r="AD183" s="8">
        <v>7.9547962925319933</v>
      </c>
      <c r="AE183" s="8">
        <v>9.5598528170416639</v>
      </c>
      <c r="BC183"/>
      <c r="BD183"/>
      <c r="CL183" s="2" t="s">
        <v>27</v>
      </c>
      <c r="CM183" s="2" t="s">
        <v>27</v>
      </c>
      <c r="CN183" s="2" t="s">
        <v>27</v>
      </c>
      <c r="CO183" s="2" t="s">
        <v>27</v>
      </c>
      <c r="CP183" s="2" t="s">
        <v>27</v>
      </c>
      <c r="CQ183" s="2" t="s">
        <v>27</v>
      </c>
      <c r="CR183" s="2" t="s">
        <v>27</v>
      </c>
      <c r="CS183" s="2" t="s">
        <v>27</v>
      </c>
      <c r="DJ183" s="2"/>
    </row>
    <row r="184" spans="8:114" x14ac:dyDescent="0.5"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BC184"/>
      <c r="BD184"/>
      <c r="DJ184" s="2"/>
    </row>
    <row r="185" spans="8:114" x14ac:dyDescent="0.5">
      <c r="H185" s="25" t="s">
        <v>40</v>
      </c>
      <c r="Z185" s="2" t="s">
        <v>27</v>
      </c>
      <c r="AA185" s="2" t="s">
        <v>27</v>
      </c>
      <c r="AB185" s="2" t="s">
        <v>27</v>
      </c>
      <c r="AC185" s="2" t="s">
        <v>27</v>
      </c>
      <c r="AD185" s="2" t="s">
        <v>27</v>
      </c>
      <c r="AE185" s="2" t="s">
        <v>27</v>
      </c>
      <c r="BC185"/>
      <c r="BD185"/>
    </row>
    <row r="186" spans="8:114" x14ac:dyDescent="0.5">
      <c r="H186" s="16">
        <v>0</v>
      </c>
      <c r="I186" s="17">
        <v>1</v>
      </c>
      <c r="J186" s="17">
        <v>0</v>
      </c>
      <c r="K186" s="17">
        <v>0</v>
      </c>
      <c r="L186" s="17">
        <v>0</v>
      </c>
      <c r="M186" s="17">
        <v>0</v>
      </c>
      <c r="N186" s="17">
        <v>1</v>
      </c>
      <c r="O186" s="17">
        <v>-1</v>
      </c>
      <c r="P186" s="17">
        <v>1</v>
      </c>
      <c r="Q186" s="17">
        <v>-1</v>
      </c>
      <c r="R186" s="17">
        <v>0</v>
      </c>
      <c r="S186" s="17">
        <v>-1</v>
      </c>
      <c r="T186" s="34">
        <v>0</v>
      </c>
      <c r="U186" s="2" t="s">
        <v>28</v>
      </c>
      <c r="Z186" s="43" cm="1">
        <f t="array" ref="Z186:AE190">MMULT(H186:T190,Z172:AE184)</f>
        <v>-7.3382058809705075</v>
      </c>
      <c r="AA186" s="43">
        <v>-6.7799738381988472</v>
      </c>
      <c r="AB186" s="43">
        <v>-7.9165487672707338</v>
      </c>
      <c r="AC186" s="43">
        <v>-11.297067185750695</v>
      </c>
      <c r="AD186" s="43">
        <v>-7.9547962925319933</v>
      </c>
      <c r="AE186" s="43">
        <v>-8.4701956206823645</v>
      </c>
      <c r="BC186"/>
      <c r="BD186"/>
    </row>
    <row r="187" spans="8:114" x14ac:dyDescent="0.5">
      <c r="H187" s="19">
        <v>0</v>
      </c>
      <c r="I187" s="20">
        <v>-1</v>
      </c>
      <c r="J187" s="20">
        <v>0</v>
      </c>
      <c r="K187" s="20">
        <v>0</v>
      </c>
      <c r="L187" s="20">
        <v>0</v>
      </c>
      <c r="M187" s="20">
        <v>0</v>
      </c>
      <c r="N187" s="20">
        <v>1</v>
      </c>
      <c r="O187" s="20">
        <v>-1</v>
      </c>
      <c r="P187" s="20">
        <v>1</v>
      </c>
      <c r="Q187" s="20">
        <v>0</v>
      </c>
      <c r="R187" s="20">
        <v>0</v>
      </c>
      <c r="S187" s="20">
        <v>-1</v>
      </c>
      <c r="T187" s="39">
        <v>-1</v>
      </c>
      <c r="U187" s="2" t="s">
        <v>28</v>
      </c>
      <c r="Z187" s="44">
        <v>-8.3382058809705075</v>
      </c>
      <c r="AA187" s="44">
        <v>-9.0239159514839589</v>
      </c>
      <c r="AB187" s="44">
        <v>-8.9165487672707329</v>
      </c>
      <c r="AC187" s="44">
        <v>-12.297067185750695</v>
      </c>
      <c r="AD187" s="44">
        <v>-8.9547962925319933</v>
      </c>
      <c r="AE187" s="44">
        <v>-9.4701956206823645</v>
      </c>
      <c r="BC187"/>
      <c r="BD187"/>
    </row>
    <row r="188" spans="8:114" x14ac:dyDescent="0.5">
      <c r="H188" s="19">
        <v>-1</v>
      </c>
      <c r="I188" s="20">
        <v>1</v>
      </c>
      <c r="J188" s="20">
        <v>0</v>
      </c>
      <c r="K188" s="20">
        <v>1</v>
      </c>
      <c r="L188" s="20">
        <v>1</v>
      </c>
      <c r="M188" s="20">
        <v>-1</v>
      </c>
      <c r="N188" s="20">
        <v>0</v>
      </c>
      <c r="O188" s="20">
        <v>1</v>
      </c>
      <c r="P188" s="20">
        <v>1</v>
      </c>
      <c r="Q188" s="20">
        <v>-1</v>
      </c>
      <c r="R188" s="20">
        <v>0</v>
      </c>
      <c r="S188" s="20">
        <v>1</v>
      </c>
      <c r="T188" s="39">
        <v>0</v>
      </c>
      <c r="U188" s="2" t="s">
        <v>28</v>
      </c>
      <c r="Z188" s="44">
        <v>6.1762930293600169</v>
      </c>
      <c r="AA188" s="44">
        <v>9.4656379079338393</v>
      </c>
      <c r="AB188" s="44">
        <v>5.6213841268452995</v>
      </c>
      <c r="AC188" s="44">
        <v>14.290737150647889</v>
      </c>
      <c r="AD188" s="44">
        <v>5.9638436209965491</v>
      </c>
      <c r="AE188" s="44">
        <v>11.662937588404525</v>
      </c>
      <c r="BC188"/>
      <c r="BD188"/>
    </row>
    <row r="189" spans="8:114" x14ac:dyDescent="0.5">
      <c r="H189" s="19">
        <v>1</v>
      </c>
      <c r="I189" s="20">
        <v>1</v>
      </c>
      <c r="J189" s="20">
        <v>1</v>
      </c>
      <c r="K189" s="20">
        <v>1</v>
      </c>
      <c r="L189" s="20">
        <v>-1</v>
      </c>
      <c r="M189" s="20">
        <v>1</v>
      </c>
      <c r="N189" s="20">
        <v>-1</v>
      </c>
      <c r="O189" s="20">
        <v>-1</v>
      </c>
      <c r="P189" s="20">
        <v>1</v>
      </c>
      <c r="Q189" s="20">
        <v>0</v>
      </c>
      <c r="R189" s="20">
        <v>0</v>
      </c>
      <c r="S189" s="20">
        <v>-1</v>
      </c>
      <c r="T189" s="39">
        <v>-1</v>
      </c>
      <c r="U189" s="2" t="s">
        <v>28</v>
      </c>
      <c r="Z189" s="44">
        <v>-5.5650534343339508</v>
      </c>
      <c r="AA189" s="44">
        <v>-13.665916896509019</v>
      </c>
      <c r="AB189" s="44">
        <v>-0.56767689900087692</v>
      </c>
      <c r="AC189" s="44">
        <v>-15.290737150647889</v>
      </c>
      <c r="AD189" s="44">
        <v>-1.4856237078492462</v>
      </c>
      <c r="AE189" s="44">
        <v>-10.660189223946936</v>
      </c>
      <c r="BC189"/>
      <c r="BD189"/>
      <c r="CE189" s="2"/>
      <c r="CF189" s="2"/>
      <c r="CG189" s="2"/>
      <c r="CH189" s="2"/>
      <c r="CI189" s="2"/>
      <c r="CJ189" s="2"/>
      <c r="CK189" s="2"/>
      <c r="CM189" s="2"/>
      <c r="CN189" s="2"/>
      <c r="CO189" s="2"/>
      <c r="CP189" s="2"/>
      <c r="CQ189" s="2"/>
      <c r="CR189" s="2"/>
      <c r="CV189" s="3" t="s">
        <v>30</v>
      </c>
      <c r="CW189" s="2"/>
      <c r="CX189" s="2"/>
      <c r="DB189" s="2"/>
      <c r="DC189" s="2"/>
      <c r="DD189" s="2"/>
    </row>
    <row r="190" spans="8:114" x14ac:dyDescent="0.5">
      <c r="H190" s="22">
        <v>0</v>
      </c>
      <c r="I190" s="23">
        <v>-1</v>
      </c>
      <c r="J190" s="23">
        <v>0</v>
      </c>
      <c r="K190" s="23">
        <v>1</v>
      </c>
      <c r="L190" s="23">
        <v>0</v>
      </c>
      <c r="M190" s="23">
        <v>-1</v>
      </c>
      <c r="N190" s="23">
        <v>1</v>
      </c>
      <c r="O190" s="23">
        <v>1</v>
      </c>
      <c r="P190" s="23">
        <v>0</v>
      </c>
      <c r="Q190" s="23">
        <v>1</v>
      </c>
      <c r="R190" s="23">
        <v>0</v>
      </c>
      <c r="S190" s="23">
        <v>1</v>
      </c>
      <c r="T190" s="42">
        <v>-1</v>
      </c>
      <c r="U190" s="2" t="s">
        <v>28</v>
      </c>
      <c r="Z190" s="45">
        <v>3.1943371957295801</v>
      </c>
      <c r="AA190" s="45">
        <v>13.284875486089902</v>
      </c>
      <c r="AB190" s="45">
        <v>1.4294393008793032</v>
      </c>
      <c r="AC190" s="45">
        <v>8.1615662634768444</v>
      </c>
      <c r="AD190" s="45">
        <v>1.7651284925546022</v>
      </c>
      <c r="AE190" s="45">
        <v>8.1684131893320746</v>
      </c>
      <c r="BC190"/>
      <c r="BD190"/>
      <c r="BZ190" s="78" t="s">
        <v>30</v>
      </c>
      <c r="CB190" s="2" t="s">
        <v>31</v>
      </c>
      <c r="CC190" s="2"/>
      <c r="CD190" s="2"/>
      <c r="CE190" s="2"/>
      <c r="CF190" s="2"/>
      <c r="CG190" s="2"/>
      <c r="CH190" s="2"/>
      <c r="CL190" s="2" t="s">
        <v>32</v>
      </c>
      <c r="CM190" s="2"/>
      <c r="CN190" s="2"/>
      <c r="CO190" s="2"/>
      <c r="CP190" s="2"/>
      <c r="CQ190" s="2"/>
      <c r="CR190" s="2"/>
      <c r="CS190" s="2"/>
      <c r="CV190" s="2">
        <v>0</v>
      </c>
      <c r="CW190" s="2"/>
      <c r="CX190" s="2"/>
      <c r="DA190" s="2" t="s">
        <v>33</v>
      </c>
      <c r="DB190" s="2"/>
      <c r="DC190" s="2"/>
      <c r="DD190" s="2"/>
      <c r="DE190" s="2"/>
      <c r="DF190" s="2"/>
      <c r="DG190" s="2"/>
      <c r="DH190" s="2"/>
    </row>
    <row r="191" spans="8:114" x14ac:dyDescent="0.5">
      <c r="BC191"/>
      <c r="BD191"/>
      <c r="BZ191" s="3">
        <v>0</v>
      </c>
      <c r="CB191" s="16">
        <v>0</v>
      </c>
      <c r="CC191" s="17">
        <v>0</v>
      </c>
      <c r="CD191" s="17">
        <v>1</v>
      </c>
      <c r="CE191" s="17">
        <v>1</v>
      </c>
      <c r="CF191" s="17">
        <v>0</v>
      </c>
      <c r="CG191" s="18">
        <v>1</v>
      </c>
      <c r="CH191" s="2" t="s">
        <v>28</v>
      </c>
      <c r="CL191" s="6" cm="1">
        <f t="array" ref="CL191:CS196">MMULT(CB191:CG196,_xlfn.ANCHORARRAY(CL177))</f>
        <v>1.8644024724886057</v>
      </c>
      <c r="CM191" s="6">
        <v>9.6275210429090983</v>
      </c>
      <c r="CN191" s="6">
        <v>4.7889763277273758</v>
      </c>
      <c r="CO191" s="6">
        <v>6.3766326126845536</v>
      </c>
      <c r="CP191" s="6">
        <v>6.6370632132020093</v>
      </c>
      <c r="CQ191" s="6">
        <v>8.2918214255918876</v>
      </c>
      <c r="CR191" s="6">
        <v>4.0681556151845415</v>
      </c>
      <c r="CS191" s="6">
        <v>3.7955196695175166</v>
      </c>
      <c r="CV191" s="2"/>
      <c r="CW191" s="2"/>
      <c r="CX191" s="2"/>
      <c r="CZ191" s="2"/>
      <c r="DA191" s="6" cm="1">
        <f t="array" ref="DA191:DH193">CL191:CS193</f>
        <v>1.8644024724886057</v>
      </c>
      <c r="DB191" s="6">
        <v>9.6275210429090983</v>
      </c>
      <c r="DC191" s="6">
        <v>4.7889763277273758</v>
      </c>
      <c r="DD191" s="6">
        <v>6.3766326126845536</v>
      </c>
      <c r="DE191" s="6">
        <v>6.6370632132020093</v>
      </c>
      <c r="DF191" s="6">
        <v>8.2918214255918876</v>
      </c>
      <c r="DG191" s="6">
        <v>4.0681556151845415</v>
      </c>
      <c r="DH191" s="6">
        <v>3.7955196695175166</v>
      </c>
    </row>
    <row r="192" spans="8:114" x14ac:dyDescent="0.5">
      <c r="Y192" s="3" t="s">
        <v>0</v>
      </c>
      <c r="BC192"/>
      <c r="BD192"/>
      <c r="CB192" s="19">
        <v>1</v>
      </c>
      <c r="CC192" s="20">
        <v>0</v>
      </c>
      <c r="CD192" s="20">
        <v>0</v>
      </c>
      <c r="CE192" s="20">
        <v>0</v>
      </c>
      <c r="CF192" s="20">
        <v>0</v>
      </c>
      <c r="CG192" s="21">
        <v>0</v>
      </c>
      <c r="CH192" s="2" t="s">
        <v>28</v>
      </c>
      <c r="CL192" s="7">
        <v>2.5096679017786085</v>
      </c>
      <c r="CM192" s="7">
        <v>0.4922881570093387</v>
      </c>
      <c r="CN192" s="7">
        <v>1.9636508259374728</v>
      </c>
      <c r="CO192" s="7">
        <v>1.8600956727204474</v>
      </c>
      <c r="CP192" s="7">
        <v>1.1223861663319794</v>
      </c>
      <c r="CQ192" s="7">
        <v>0.89035699734201246</v>
      </c>
      <c r="CR192" s="7">
        <v>1.9369727455967058</v>
      </c>
      <c r="CS192" s="7">
        <v>1.9936543327132796</v>
      </c>
      <c r="CV192" s="2"/>
      <c r="CW192" s="2"/>
      <c r="CX192" s="2"/>
      <c r="CZ192" s="2"/>
      <c r="DA192" s="7">
        <v>2.5096679017786085</v>
      </c>
      <c r="DB192" s="7">
        <v>0.4922881570093387</v>
      </c>
      <c r="DC192" s="7">
        <v>1.9636508259374728</v>
      </c>
      <c r="DD192" s="7">
        <v>1.8600956727204474</v>
      </c>
      <c r="DE192" s="7">
        <v>1.1223861663319794</v>
      </c>
      <c r="DF192" s="7">
        <v>0.89035699734201246</v>
      </c>
      <c r="DG192" s="7">
        <v>1.9369727455967058</v>
      </c>
      <c r="DH192" s="7">
        <v>1.9936543327132796</v>
      </c>
    </row>
    <row r="193" spans="26:123" x14ac:dyDescent="0.5">
      <c r="Z193" s="6" cm="1">
        <f t="array" ref="Z193:AE197">RELU(_xlfn.ANCHORARRAY(Z186))</f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BC193"/>
      <c r="BD193"/>
      <c r="CB193" s="22">
        <v>0</v>
      </c>
      <c r="CC193" s="23">
        <v>0</v>
      </c>
      <c r="CD193" s="23">
        <v>0</v>
      </c>
      <c r="CE193" s="23">
        <v>0</v>
      </c>
      <c r="CF193" s="23">
        <v>0</v>
      </c>
      <c r="CG193" s="24">
        <v>1</v>
      </c>
      <c r="CH193" s="2" t="s">
        <v>28</v>
      </c>
      <c r="CL193" s="8">
        <v>5.821485674363819</v>
      </c>
      <c r="CM193" s="8">
        <v>8.5605722533686404</v>
      </c>
      <c r="CN193" s="8">
        <v>7.3588697979988575</v>
      </c>
      <c r="CO193" s="8">
        <v>7.2017750571874624</v>
      </c>
      <c r="CP193" s="8">
        <v>8.4977513174965171</v>
      </c>
      <c r="CQ193" s="8">
        <v>9.1375140683996658</v>
      </c>
      <c r="CR193" s="8">
        <v>7.3789321238968588</v>
      </c>
      <c r="CS193" s="8">
        <v>7.4501510789360719</v>
      </c>
      <c r="CV193" s="2"/>
      <c r="CW193" s="2"/>
      <c r="CX193" s="2"/>
      <c r="CZ193" s="2"/>
      <c r="DA193" s="8">
        <v>5.821485674363819</v>
      </c>
      <c r="DB193" s="8">
        <v>8.5605722533686404</v>
      </c>
      <c r="DC193" s="8">
        <v>7.3588697979988575</v>
      </c>
      <c r="DD193" s="8">
        <v>7.2017750571874624</v>
      </c>
      <c r="DE193" s="8">
        <v>8.4977513174965171</v>
      </c>
      <c r="DF193" s="8">
        <v>9.1375140683996658</v>
      </c>
      <c r="DG193" s="8">
        <v>7.3789321238968588</v>
      </c>
      <c r="DH193" s="8">
        <v>7.4501510789360719</v>
      </c>
    </row>
    <row r="194" spans="26:123" x14ac:dyDescent="0.5">
      <c r="Z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BC194"/>
      <c r="BD194"/>
      <c r="BZ194" s="3">
        <v>1</v>
      </c>
      <c r="CB194" s="16">
        <v>0</v>
      </c>
      <c r="CC194" s="17">
        <v>1</v>
      </c>
      <c r="CD194" s="17">
        <v>1</v>
      </c>
      <c r="CE194" s="17">
        <v>1</v>
      </c>
      <c r="CF194" s="17">
        <v>1</v>
      </c>
      <c r="CG194" s="18">
        <v>1</v>
      </c>
      <c r="CH194" s="2" t="s">
        <v>28</v>
      </c>
      <c r="CL194" s="6">
        <v>6.494532657191912</v>
      </c>
      <c r="CM194" s="6">
        <v>17.041917291468035</v>
      </c>
      <c r="CN194" s="6">
        <v>9.61976609601337</v>
      </c>
      <c r="CO194" s="6">
        <v>10.544937677307702</v>
      </c>
      <c r="CP194" s="6">
        <v>13.73847434437587</v>
      </c>
      <c r="CQ194" s="6">
        <v>15.227469179354035</v>
      </c>
      <c r="CR194" s="6">
        <v>9.1101033002578831</v>
      </c>
      <c r="CS194" s="6">
        <v>8.7857518804015129</v>
      </c>
      <c r="CV194" s="2"/>
      <c r="CW194" s="2"/>
      <c r="CX194" s="2"/>
      <c r="CZ194" s="2"/>
      <c r="DA194" s="2"/>
      <c r="DB194" s="2"/>
      <c r="DC194" s="2"/>
      <c r="DD194" s="2"/>
    </row>
    <row r="195" spans="26:123" x14ac:dyDescent="0.5">
      <c r="Z195" s="44">
        <v>6.1762930293600169</v>
      </c>
      <c r="AA195" s="44">
        <v>9.4656379079338393</v>
      </c>
      <c r="AB195" s="44">
        <v>5.6213841268452995</v>
      </c>
      <c r="AC195" s="44">
        <v>14.290737150647889</v>
      </c>
      <c r="AD195" s="44">
        <v>5.9638436209965491</v>
      </c>
      <c r="AE195" s="44">
        <v>11.662937588404525</v>
      </c>
      <c r="BC195"/>
      <c r="BD195"/>
      <c r="CB195" s="19">
        <v>0</v>
      </c>
      <c r="CC195" s="20">
        <v>1</v>
      </c>
      <c r="CD195" s="20">
        <v>0</v>
      </c>
      <c r="CE195" s="20">
        <v>1</v>
      </c>
      <c r="CF195" s="20">
        <v>0</v>
      </c>
      <c r="CG195" s="21">
        <v>1</v>
      </c>
      <c r="CH195" s="2" t="s">
        <v>28</v>
      </c>
      <c r="CL195" s="7">
        <v>12.117607322893448</v>
      </c>
      <c r="CM195" s="7">
        <v>16.268612225090514</v>
      </c>
      <c r="CN195" s="7">
        <v>15.002482190040762</v>
      </c>
      <c r="CO195" s="7">
        <v>16.004213932871814</v>
      </c>
      <c r="CP195" s="7">
        <v>16.269840868520877</v>
      </c>
      <c r="CQ195" s="7">
        <v>16.618326403248854</v>
      </c>
      <c r="CR195" s="7">
        <v>14.067493449138151</v>
      </c>
      <c r="CS195" s="7">
        <v>13.678888417913992</v>
      </c>
      <c r="CV195" s="25"/>
      <c r="CW195" s="2"/>
      <c r="CX195" s="2"/>
      <c r="CZ195" s="2"/>
      <c r="DA195" s="25" t="s">
        <v>34</v>
      </c>
      <c r="DB195" s="2"/>
      <c r="DC195" s="2"/>
      <c r="DD195" s="2"/>
      <c r="DJ195" s="2" t="s">
        <v>3</v>
      </c>
      <c r="DK195" s="2">
        <v>0</v>
      </c>
      <c r="DL195" s="2">
        <v>1</v>
      </c>
      <c r="DM195" s="2">
        <v>2</v>
      </c>
      <c r="DN195" s="2">
        <v>3</v>
      </c>
      <c r="DO195" s="2">
        <v>4</v>
      </c>
      <c r="DP195" s="2">
        <v>5</v>
      </c>
      <c r="DQ195" s="2">
        <v>6</v>
      </c>
      <c r="DR195" s="2">
        <v>7</v>
      </c>
    </row>
    <row r="196" spans="26:123" x14ac:dyDescent="0.5"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BC196"/>
      <c r="BD196"/>
      <c r="CB196" s="22">
        <v>1</v>
      </c>
      <c r="CC196" s="23">
        <v>0</v>
      </c>
      <c r="CD196" s="23">
        <v>0</v>
      </c>
      <c r="CE196" s="23">
        <v>0</v>
      </c>
      <c r="CF196" s="23">
        <v>-1</v>
      </c>
      <c r="CG196" s="24">
        <v>0</v>
      </c>
      <c r="CH196" s="2" t="s">
        <v>28</v>
      </c>
      <c r="CL196" s="8">
        <v>3.1214687173022551</v>
      </c>
      <c r="CM196" s="8">
        <v>-3.0532309869556689</v>
      </c>
      <c r="CN196" s="8">
        <v>2.0713002561888887</v>
      </c>
      <c r="CO196" s="8">
        <v>2.3713926234180231</v>
      </c>
      <c r="CP196" s="8">
        <v>-1.4574006615082244</v>
      </c>
      <c r="CQ196" s="8">
        <v>-1.9329839964803994</v>
      </c>
      <c r="CR196" s="8">
        <v>2.1912787331758024</v>
      </c>
      <c r="CS196" s="8">
        <v>2.3162625154360876</v>
      </c>
      <c r="CW196" s="2" t="s">
        <v>35</v>
      </c>
      <c r="CX196" s="2"/>
      <c r="CZ196" s="2"/>
      <c r="DA196" s="2" t="s">
        <v>27</v>
      </c>
      <c r="DB196" s="2" t="s">
        <v>27</v>
      </c>
      <c r="DC196" s="2" t="s">
        <v>27</v>
      </c>
      <c r="DD196" s="2" t="s">
        <v>27</v>
      </c>
      <c r="DE196" s="2" t="s">
        <v>27</v>
      </c>
      <c r="DF196" s="2" t="s">
        <v>27</v>
      </c>
      <c r="DG196" s="2" t="s">
        <v>27</v>
      </c>
      <c r="DH196" s="2" t="s">
        <v>27</v>
      </c>
      <c r="DJ196" s="2"/>
      <c r="DK196" s="2"/>
      <c r="DL196" s="2"/>
      <c r="DM196" s="2"/>
      <c r="DN196" s="2"/>
      <c r="DO196" s="2"/>
      <c r="DP196" s="2"/>
      <c r="DQ196" s="2"/>
      <c r="DR196" s="2"/>
    </row>
    <row r="197" spans="26:123" x14ac:dyDescent="0.5">
      <c r="Z197" s="45">
        <v>3.1943371957295801</v>
      </c>
      <c r="AA197" s="45">
        <v>13.284875486089902</v>
      </c>
      <c r="AB197" s="45">
        <v>1.4294393008793032</v>
      </c>
      <c r="AC197" s="45">
        <v>8.1615662634768444</v>
      </c>
      <c r="AD197" s="45">
        <v>1.7651284925546022</v>
      </c>
      <c r="AE197" s="45">
        <v>8.1684131893320746</v>
      </c>
      <c r="BC197"/>
      <c r="BD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W197" s="26" cm="1">
        <f t="array" ref="CW197:CY202">TRANSPOSE(CL212:CQ214)</f>
        <v>6.9285887815130245</v>
      </c>
      <c r="CX197" s="27">
        <v>4.7207224721913086</v>
      </c>
      <c r="CY197" s="28">
        <v>2.2414664494796628</v>
      </c>
      <c r="CZ197" s="2" t="s">
        <v>28</v>
      </c>
      <c r="DA197" s="6" cm="1">
        <f t="array" ref="DA197:DH202">MMULT(_xlfn.ANCHORARRAY(CW197),_xlfn.ANCHORARRAY(DA191)) / SQRT(3)</f>
        <v>21.831800993795309</v>
      </c>
      <c r="DB197" s="6">
        <v>50.932296654370759</v>
      </c>
      <c r="DC197" s="6">
        <v>34.0321183082402</v>
      </c>
      <c r="DD197" s="6">
        <v>39.897558138663697</v>
      </c>
      <c r="DE197" s="6">
        <v>40.605841056113178</v>
      </c>
      <c r="DF197" s="6">
        <v>47.420768519222882</v>
      </c>
      <c r="DG197" s="6">
        <v>31.101926501389659</v>
      </c>
      <c r="DH197" s="6">
        <v>30.257973536586377</v>
      </c>
      <c r="DK197" s="6" cm="1">
        <f t="array" ref="DK197:DK202">SOFTMAX(DA197:DA202)</f>
        <v>4.66534072149709E-3</v>
      </c>
      <c r="DL197" s="6" cm="1">
        <f t="array" ref="DL197:DL202">SOFTMAX(DB197:DB202)</f>
        <v>8.0072593287452758E-9</v>
      </c>
      <c r="DM197" s="6" cm="1">
        <f t="array" ref="DM197:DM202">SOFTMAX(DC197:DC202)</f>
        <v>2.3877101379842681E-5</v>
      </c>
      <c r="DN197" s="6" cm="1">
        <f t="array" ref="DN197:DN202">SOFTMAX(DD197:DD202)</f>
        <v>4.8865485715963474E-6</v>
      </c>
      <c r="DO197" s="6" cm="1">
        <f t="array" ref="DO197:DO202">SOFTMAX(DE197:DE202)</f>
        <v>3.8880954107747713E-7</v>
      </c>
      <c r="DP197" s="6" cm="1">
        <f t="array" ref="DP197:DP202">SOFTMAX(DF197:DF202)</f>
        <v>2.6938067458785722E-8</v>
      </c>
      <c r="DQ197" s="6" cm="1">
        <f t="array" ref="DQ197:DQ202">SOFTMAX(DG197:DG202)</f>
        <v>4.7616005423765095E-5</v>
      </c>
      <c r="DR197" s="6" cm="1">
        <f t="array" ref="DR197:DR202">SOFTMAX(DH197:DH202)</f>
        <v>6.2346839720125942E-5</v>
      </c>
    </row>
    <row r="198" spans="26:123" x14ac:dyDescent="0.5">
      <c r="BC198"/>
      <c r="BD198"/>
      <c r="BE198"/>
      <c r="BF198"/>
      <c r="BG198"/>
      <c r="BH198"/>
      <c r="BI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V198" s="2"/>
      <c r="CW198" s="26">
        <v>8.7142087261395265</v>
      </c>
      <c r="CX198" s="27">
        <v>2.7095020741493681</v>
      </c>
      <c r="CY198" s="28">
        <v>4.1209496445229394</v>
      </c>
      <c r="CZ198" s="2" t="s">
        <v>28</v>
      </c>
      <c r="DA198" s="7">
        <v>27.156704523280006</v>
      </c>
      <c r="DB198" s="7">
        <v>69.575193939769363</v>
      </c>
      <c r="DC198" s="7">
        <v>44.67431719101991</v>
      </c>
      <c r="DD198" s="7">
        <v>52.126295953621714</v>
      </c>
      <c r="DE198" s="7">
        <v>55.365966556016176</v>
      </c>
      <c r="DF198" s="7">
        <v>64.850477604158471</v>
      </c>
      <c r="DG198" s="7">
        <v>41.053759067055374</v>
      </c>
      <c r="DH198" s="7">
        <v>39.940201703118973</v>
      </c>
      <c r="DK198" s="7">
        <v>0.95820754537768416</v>
      </c>
      <c r="DL198" s="7">
        <v>0.9999799949721957</v>
      </c>
      <c r="DM198" s="7">
        <v>0.99960829995319922</v>
      </c>
      <c r="DN198" s="7">
        <v>0.99971353873523694</v>
      </c>
      <c r="DO198" s="7">
        <v>0.9999492763365887</v>
      </c>
      <c r="DP198" s="7">
        <v>0.99998368151979788</v>
      </c>
      <c r="DQ198" s="7">
        <v>0.999491090356881</v>
      </c>
      <c r="DR198" s="7">
        <v>0.99943075536633674</v>
      </c>
    </row>
    <row r="199" spans="26:123" x14ac:dyDescent="0.5">
      <c r="BC199"/>
      <c r="BD199"/>
      <c r="BE199"/>
      <c r="BF199"/>
      <c r="BG199"/>
      <c r="BH199"/>
      <c r="BI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V199" s="2"/>
      <c r="CW199" s="26">
        <v>5.2737337956589911</v>
      </c>
      <c r="CX199" s="27">
        <v>5.554994549741247</v>
      </c>
      <c r="CY199" s="28">
        <v>2.8778319129808634</v>
      </c>
      <c r="CZ199" s="2" t="s">
        <v>28</v>
      </c>
      <c r="DA199" s="7">
        <v>23.39816529715026</v>
      </c>
      <c r="DB199" s="7">
        <v>45.116187587650856</v>
      </c>
      <c r="DC199" s="7">
        <v>33.106099451240375</v>
      </c>
      <c r="DD199" s="7">
        <v>37.347046658783704</v>
      </c>
      <c r="DE199" s="7">
        <v>37.927324793861125</v>
      </c>
      <c r="DF199" s="7">
        <v>43.284536695464666</v>
      </c>
      <c r="DG199" s="7">
        <v>30.859123135930414</v>
      </c>
      <c r="DH199" s="7">
        <v>30.329122914551288</v>
      </c>
      <c r="DK199" s="7">
        <v>2.2343270350239645E-2</v>
      </c>
      <c r="DL199" s="7">
        <v>2.3855021937403561E-11</v>
      </c>
      <c r="DM199" s="7">
        <v>9.4583792467483327E-6</v>
      </c>
      <c r="DN199" s="7">
        <v>3.8135474829297438E-7</v>
      </c>
      <c r="DO199" s="7">
        <v>2.6697591353071712E-8</v>
      </c>
      <c r="DP199" s="7">
        <v>4.305501840512175E-10</v>
      </c>
      <c r="DQ199" s="7">
        <v>3.7351220471487118E-5</v>
      </c>
      <c r="DR199" s="7">
        <v>6.6944395886516577E-5</v>
      </c>
    </row>
    <row r="200" spans="26:123" x14ac:dyDescent="0.5">
      <c r="BC200"/>
      <c r="BD200"/>
      <c r="BE200"/>
      <c r="BF200"/>
      <c r="BG200"/>
      <c r="BH200"/>
      <c r="BI200"/>
      <c r="CV200" s="2"/>
      <c r="CW200" s="26">
        <v>8.0144769763661792</v>
      </c>
      <c r="CX200" s="27">
        <v>3.4634813105640885</v>
      </c>
      <c r="CY200" s="28">
        <v>2.11051523901744</v>
      </c>
      <c r="CZ200" s="2" t="s">
        <v>28</v>
      </c>
      <c r="DA200" s="7">
        <v>20.738844747780895</v>
      </c>
      <c r="DB200" s="7">
        <v>55.963597800337347</v>
      </c>
      <c r="DC200" s="7">
        <v>35.052791200092621</v>
      </c>
      <c r="DD200" s="7">
        <v>42.000637364508385</v>
      </c>
      <c r="DE200" s="7">
        <v>43.309692272520017</v>
      </c>
      <c r="DF200" s="7">
        <v>51.282103866419959</v>
      </c>
      <c r="DG200" s="7">
        <v>31.688537583845982</v>
      </c>
      <c r="DH200" s="7">
        <v>30.627130958880926</v>
      </c>
      <c r="DK200" s="7">
        <v>1.5639342841791473E-3</v>
      </c>
      <c r="DL200" s="7">
        <v>1.2261686795217882E-6</v>
      </c>
      <c r="DM200" s="7">
        <v>6.6260423626973581E-5</v>
      </c>
      <c r="DN200" s="7">
        <v>4.0027449911789121E-5</v>
      </c>
      <c r="DO200" s="7">
        <v>5.8077053792239729E-6</v>
      </c>
      <c r="DP200" s="7">
        <v>1.2803333857204194E-6</v>
      </c>
      <c r="DQ200" s="7">
        <v>8.5608111191903095E-5</v>
      </c>
      <c r="DR200" s="7">
        <v>9.0185657531236129E-5</v>
      </c>
    </row>
    <row r="201" spans="26:123" x14ac:dyDescent="0.5">
      <c r="BC201"/>
      <c r="BD201"/>
      <c r="BE201"/>
      <c r="BF201"/>
      <c r="BG201"/>
      <c r="BH201"/>
      <c r="BI201"/>
      <c r="CW201" s="26">
        <v>5.4696963138645653</v>
      </c>
      <c r="CX201" s="27">
        <v>5.4641653196053728</v>
      </c>
      <c r="CY201" s="28">
        <v>2.6203124587627591</v>
      </c>
      <c r="CZ201" s="2" t="s">
        <v>28</v>
      </c>
      <c r="DA201" s="7">
        <v>22.611962024354966</v>
      </c>
      <c r="DB201" s="7">
        <v>44.906843393151377</v>
      </c>
      <c r="DC201" s="7">
        <v>32.450836244727974</v>
      </c>
      <c r="DD201" s="7">
        <v>36.900196455414878</v>
      </c>
      <c r="DE201" s="7">
        <v>37.355940786133068</v>
      </c>
      <c r="DF201" s="7">
        <v>42.81741883390211</v>
      </c>
      <c r="DG201" s="7">
        <v>30.120723146656129</v>
      </c>
      <c r="DH201" s="7">
        <v>29.546316007487697</v>
      </c>
      <c r="DK201" s="7">
        <v>1.0178950383154906E-2</v>
      </c>
      <c r="DL201" s="7">
        <v>1.9349190115091947E-11</v>
      </c>
      <c r="DM201" s="7">
        <v>4.9117870401714773E-6</v>
      </c>
      <c r="DN201" s="7">
        <v>2.4392964326461073E-7</v>
      </c>
      <c r="DO201" s="7">
        <v>1.5077285535703494E-8</v>
      </c>
      <c r="DP201" s="7">
        <v>2.6987152895048793E-10</v>
      </c>
      <c r="DQ201" s="7">
        <v>1.7849323322143162E-5</v>
      </c>
      <c r="DR201" s="7">
        <v>3.0601696714826836E-5</v>
      </c>
    </row>
    <row r="202" spans="26:123" x14ac:dyDescent="0.5">
      <c r="BD202"/>
      <c r="BE202"/>
      <c r="BF202"/>
      <c r="BG202"/>
      <c r="BH202"/>
      <c r="BI202"/>
      <c r="CB202" s="2"/>
      <c r="CC202" s="2"/>
      <c r="CD202" s="2"/>
      <c r="CE202" s="2"/>
      <c r="CF202" s="2"/>
      <c r="CG202" s="2"/>
      <c r="CH202" s="2"/>
      <c r="CM202" s="2"/>
      <c r="CN202" s="2"/>
      <c r="CO202" s="2"/>
      <c r="CP202" s="2"/>
      <c r="CQ202" s="2"/>
      <c r="CR202" s="2"/>
      <c r="CS202" s="2"/>
      <c r="CW202" s="26">
        <v>8.3769954842149357</v>
      </c>
      <c r="CX202" s="27">
        <v>3.2959495540104435</v>
      </c>
      <c r="CY202" s="28">
        <v>2.2644840949091876</v>
      </c>
      <c r="CZ202" s="2" t="s">
        <v>28</v>
      </c>
      <c r="DA202" s="8">
        <v>21.403813012131895</v>
      </c>
      <c r="DB202" s="8">
        <v>58.692006319338283</v>
      </c>
      <c r="DC202" s="8">
        <v>36.51935062934114</v>
      </c>
      <c r="DD202" s="8">
        <v>43.795545052435834</v>
      </c>
      <c r="DE202" s="8">
        <v>45.345667175316308</v>
      </c>
      <c r="DF202" s="8">
        <v>53.743733875772953</v>
      </c>
      <c r="DG202" s="8">
        <v>33.008592967715089</v>
      </c>
      <c r="DH202" s="8">
        <v>31.890972032746919</v>
      </c>
      <c r="DK202" s="8">
        <v>3.0409588832449415E-3</v>
      </c>
      <c r="DL202" s="8">
        <v>1.8770808661057053E-5</v>
      </c>
      <c r="DM202" s="8">
        <v>2.8719235550695398E-4</v>
      </c>
      <c r="DN202" s="8">
        <v>2.4092198188840693E-4</v>
      </c>
      <c r="DO202" s="8">
        <v>4.4485373614080685E-5</v>
      </c>
      <c r="DP202" s="8">
        <v>1.5010508327061029E-5</v>
      </c>
      <c r="DQ202" s="8">
        <v>3.2048498270951376E-4</v>
      </c>
      <c r="DR202" s="8">
        <v>3.1916604381053301E-4</v>
      </c>
    </row>
    <row r="203" spans="26:123" x14ac:dyDescent="0.5">
      <c r="BD203"/>
      <c r="BE203"/>
      <c r="BF203"/>
      <c r="BG203"/>
      <c r="BH203"/>
      <c r="BI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</row>
    <row r="204" spans="26:123" x14ac:dyDescent="0.5">
      <c r="Z204" s="6" cm="1">
        <f t="array" ref="Z204:AE208">_xlfn.ANCHORARRAY(Z193)+_xlfn.ANCHORARRAY(Z147)</f>
        <v>2.6781250236700354</v>
      </c>
      <c r="AA204" s="43">
        <v>2.4417219564498791</v>
      </c>
      <c r="AB204" s="43">
        <v>2.3623019706523687</v>
      </c>
      <c r="AC204" s="43">
        <v>2.2703202358274002</v>
      </c>
      <c r="AD204" s="43">
        <v>2.3780405820450232</v>
      </c>
      <c r="AE204" s="43">
        <v>2.1311382605109026</v>
      </c>
      <c r="BD204"/>
      <c r="BE204"/>
      <c r="BF204"/>
      <c r="BG204"/>
      <c r="BH204"/>
      <c r="BI204"/>
      <c r="CL204" s="35" cm="1">
        <f t="array" ref="CL204:CQ208">_xlfn.ANCHORARRAY(Z218)</f>
        <v>2.3810539588415613</v>
      </c>
      <c r="CM204" s="35">
        <v>0.55851128428199548</v>
      </c>
      <c r="CN204" s="35">
        <v>2.4209801057676819</v>
      </c>
      <c r="CO204" s="35">
        <v>0.88451840484913791</v>
      </c>
      <c r="CP204" s="35">
        <v>2.3468747146065136</v>
      </c>
      <c r="CQ204" s="35">
        <v>1.025609573302531</v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</row>
    <row r="205" spans="26:123" x14ac:dyDescent="0.5">
      <c r="Z205" s="44">
        <v>5.5797305277288025</v>
      </c>
      <c r="AA205" s="44">
        <v>1.762956416878015</v>
      </c>
      <c r="AB205" s="44">
        <v>5.5284242783847084</v>
      </c>
      <c r="AC205" s="44">
        <v>4.8098397669359123</v>
      </c>
      <c r="AD205" s="44">
        <v>5.5696406984494047</v>
      </c>
      <c r="AE205" s="44">
        <v>4.7493485105560218</v>
      </c>
      <c r="BD205"/>
      <c r="BE205"/>
      <c r="BF205"/>
      <c r="BG205"/>
      <c r="BH205"/>
      <c r="BI205"/>
      <c r="CL205" s="36">
        <v>4.3700337258956417</v>
      </c>
      <c r="CM205" s="36">
        <v>2.1332128744382635</v>
      </c>
      <c r="CN205" s="36">
        <v>4.3837228951414842</v>
      </c>
      <c r="CO205" s="36">
        <v>2.941439597494357</v>
      </c>
      <c r="CP205" s="36">
        <v>4.3980269530753127</v>
      </c>
      <c r="CQ205" s="36">
        <v>2.9688945922358254</v>
      </c>
      <c r="CV205" s="2"/>
      <c r="CW205" s="2"/>
      <c r="CX205" s="2"/>
      <c r="CY205" s="2"/>
      <c r="CZ205" s="2"/>
      <c r="DA205" s="2"/>
      <c r="DB205" s="2"/>
      <c r="DC205" s="2"/>
      <c r="DE205" s="2"/>
      <c r="DF205" s="2"/>
      <c r="DG205" s="2"/>
      <c r="DH205" s="2"/>
    </row>
    <row r="206" spans="26:123" x14ac:dyDescent="0.5">
      <c r="Z206" s="44">
        <v>3.0307970959048434</v>
      </c>
      <c r="AA206" s="44">
        <v>12.84755291439274</v>
      </c>
      <c r="AB206" s="44">
        <v>0.69248439473993706</v>
      </c>
      <c r="AC206" s="44">
        <v>13.971406030412757</v>
      </c>
      <c r="AD206" s="44">
        <v>1.2972509257816149</v>
      </c>
      <c r="AE206" s="44">
        <v>14.889708210740055</v>
      </c>
      <c r="CL206" s="36">
        <v>0.66777735243338765</v>
      </c>
      <c r="CM206" s="36">
        <v>3.0363354068894286</v>
      </c>
      <c r="CN206" s="36">
        <v>-0.81654935786359439</v>
      </c>
      <c r="CO206" s="36">
        <v>3.4845638529241145</v>
      </c>
      <c r="CP206" s="36">
        <v>-0.48250473144344624</v>
      </c>
      <c r="CQ206" s="36">
        <v>3.4706717588445408</v>
      </c>
      <c r="CV206" s="2"/>
      <c r="CW206" s="2"/>
      <c r="CX206" s="2"/>
      <c r="CY206" s="2"/>
      <c r="CZ206" s="2"/>
      <c r="DA206" s="3" t="s">
        <v>38</v>
      </c>
      <c r="DB206" s="2"/>
      <c r="DC206" s="2"/>
      <c r="DE206" s="2"/>
      <c r="DF206" s="2"/>
      <c r="DG206"/>
      <c r="DH206"/>
      <c r="DK206" s="2" t="s">
        <v>27</v>
      </c>
      <c r="DL206" s="2" t="s">
        <v>27</v>
      </c>
      <c r="DM206" s="2" t="s">
        <v>27</v>
      </c>
      <c r="DN206" s="2" t="s">
        <v>27</v>
      </c>
      <c r="DO206" s="2" t="s">
        <v>27</v>
      </c>
      <c r="DP206" s="2" t="s">
        <v>27</v>
      </c>
      <c r="DQ206" s="2" t="s">
        <v>27</v>
      </c>
      <c r="DR206" s="2" t="s">
        <v>27</v>
      </c>
    </row>
    <row r="207" spans="26:123" x14ac:dyDescent="0.5">
      <c r="Z207" s="44">
        <v>0.61210950740629855</v>
      </c>
      <c r="AA207" s="44">
        <v>3.8222500452177357</v>
      </c>
      <c r="AB207" s="44">
        <v>2.2564659923125436</v>
      </c>
      <c r="AC207" s="44">
        <v>2.6762040526306161</v>
      </c>
      <c r="AD207" s="44">
        <v>2.0983914060074782</v>
      </c>
      <c r="AE207" s="44">
        <v>1.0648305082189991</v>
      </c>
      <c r="CL207" s="36">
        <v>0.35068874629566671</v>
      </c>
      <c r="CM207" s="36">
        <v>0.5762891997111047</v>
      </c>
      <c r="CN207" s="36">
        <v>1.1712716545997628</v>
      </c>
      <c r="CO207" s="36">
        <v>0.52204171306973146</v>
      </c>
      <c r="CP207" s="36">
        <v>1.0661383665300606</v>
      </c>
      <c r="CQ207" s="36">
        <v>0.32705496177461824</v>
      </c>
      <c r="CV207" s="2"/>
      <c r="CW207" s="2"/>
      <c r="CX207" s="2"/>
      <c r="DA207" s="6" cm="1">
        <f t="array" ref="DA207:DF209">CL225:CQ227</f>
        <v>1.8907777031839959</v>
      </c>
      <c r="DB207" s="6">
        <v>3.5446604448118353</v>
      </c>
      <c r="DC207" s="6">
        <v>1.7065602583811006</v>
      </c>
      <c r="DD207" s="6">
        <v>1.5884735259477087</v>
      </c>
      <c r="DE207" s="6">
        <v>1.5541740922326985</v>
      </c>
      <c r="DF207" s="6">
        <v>1.9374291331345694</v>
      </c>
      <c r="DG207"/>
      <c r="DH207"/>
      <c r="DJ207" s="2" t="s">
        <v>28</v>
      </c>
      <c r="DK207" s="29" cm="1">
        <f t="array" ref="DK207:DR209">MMULT(_xlfn.ANCHORARRAY(DA207),DK197:DR202)</f>
        <v>3.4676674149678912</v>
      </c>
      <c r="DL207" s="29">
        <v>3.5446278638398478</v>
      </c>
      <c r="DM207" s="29">
        <v>3.5440025902720333</v>
      </c>
      <c r="DN207" s="29">
        <v>3.5441856579997526</v>
      </c>
      <c r="DO207" s="29">
        <v>3.5445768634397909</v>
      </c>
      <c r="DP207" s="29">
        <v>3.544633769000451</v>
      </c>
      <c r="DQ207" s="29">
        <v>3.5437949504360566</v>
      </c>
      <c r="DR207" s="29">
        <v>3.543683974020623</v>
      </c>
    </row>
    <row r="208" spans="26:123" x14ac:dyDescent="0.5">
      <c r="Z208" s="45">
        <v>-0.85363415416459354</v>
      </c>
      <c r="AA208" s="45">
        <v>8.0832095798236789</v>
      </c>
      <c r="AB208" s="45">
        <v>-1.8683415034265183</v>
      </c>
      <c r="AC208" s="45">
        <v>1.8110233661841662</v>
      </c>
      <c r="AD208" s="45">
        <v>-1.7132358119248892</v>
      </c>
      <c r="AE208" s="45">
        <v>1.8045291410203124</v>
      </c>
      <c r="CL208" s="37">
        <v>-0.4902762556575655</v>
      </c>
      <c r="CM208" s="37">
        <v>2.9861491605298398</v>
      </c>
      <c r="CN208" s="37">
        <v>-0.71441984738658126</v>
      </c>
      <c r="CO208" s="37">
        <v>0.70395512109857084</v>
      </c>
      <c r="CP208" s="37">
        <v>-0.79270062237381511</v>
      </c>
      <c r="CQ208" s="37">
        <v>0.91181955983203844</v>
      </c>
      <c r="CV208" s="2"/>
      <c r="DA208" s="7">
        <v>5.0378110783290291</v>
      </c>
      <c r="DB208" s="7">
        <v>5.1695482813276925</v>
      </c>
      <c r="DC208" s="7">
        <v>3.5671735372778897</v>
      </c>
      <c r="DD208" s="7">
        <v>6.426003450418472</v>
      </c>
      <c r="DE208" s="7">
        <v>3.9155222216318664</v>
      </c>
      <c r="DF208" s="7">
        <v>6.4395663510803658</v>
      </c>
      <c r="DG208"/>
      <c r="DH208"/>
      <c r="DJ208" s="2" t="s">
        <v>28</v>
      </c>
      <c r="DK208" s="30">
        <v>5.1261938072870503</v>
      </c>
      <c r="DL208" s="30">
        <v>5.1695736601025075</v>
      </c>
      <c r="DM208" s="30">
        <v>5.1699718131809282</v>
      </c>
      <c r="DN208" s="30">
        <v>5.1699029885868519</v>
      </c>
      <c r="DO208" s="30">
        <v>5.1696119627699302</v>
      </c>
      <c r="DP208" s="30">
        <v>5.1695689490489292</v>
      </c>
      <c r="DQ208" s="30">
        <v>5.1699743588323308</v>
      </c>
      <c r="DR208" s="30">
        <v>5.1699130834735101</v>
      </c>
    </row>
    <row r="209" spans="15:122" x14ac:dyDescent="0.5">
      <c r="CL209" s="2" t="s">
        <v>27</v>
      </c>
      <c r="CM209" s="2" t="s">
        <v>27</v>
      </c>
      <c r="CN209" s="2" t="s">
        <v>27</v>
      </c>
      <c r="CO209" s="2" t="s">
        <v>27</v>
      </c>
      <c r="CP209" s="2" t="s">
        <v>27</v>
      </c>
      <c r="CQ209" s="2" t="s">
        <v>27</v>
      </c>
      <c r="CV209" s="2"/>
      <c r="DA209" s="8">
        <v>4.7207224721913086</v>
      </c>
      <c r="DB209" s="8">
        <v>2.7095020741493681</v>
      </c>
      <c r="DC209" s="8">
        <v>5.554994549741247</v>
      </c>
      <c r="DD209" s="8">
        <v>3.4634813105640885</v>
      </c>
      <c r="DE209" s="8">
        <v>5.4641653196053728</v>
      </c>
      <c r="DF209" s="8">
        <v>3.2959495540104435</v>
      </c>
      <c r="DG209"/>
      <c r="DH209"/>
      <c r="DJ209" s="2" t="s">
        <v>28</v>
      </c>
      <c r="DK209" s="31">
        <v>2.8134648273826057</v>
      </c>
      <c r="DL209" s="31">
        <v>2.7095140229740693</v>
      </c>
      <c r="DM209" s="31">
        <v>2.709808922545649</v>
      </c>
      <c r="DN209" s="31">
        <v>2.7096851271168636</v>
      </c>
      <c r="DO209" s="31">
        <v>2.7095334408562017</v>
      </c>
      <c r="DP209" s="31">
        <v>2.7095118985158591</v>
      </c>
      <c r="DQ209" s="31">
        <v>2.7100057862712172</v>
      </c>
      <c r="DR209" s="31">
        <v>2.7101574267643849</v>
      </c>
    </row>
    <row r="210" spans="15:122" x14ac:dyDescent="0.5">
      <c r="Y210" s="3" t="s">
        <v>1</v>
      </c>
      <c r="AU210" s="2"/>
      <c r="AV210" s="2"/>
      <c r="CA210"/>
      <c r="CR210"/>
      <c r="CS210"/>
      <c r="CT210"/>
      <c r="CV210" s="2"/>
      <c r="DG210"/>
      <c r="DH210"/>
    </row>
    <row r="211" spans="15:122" x14ac:dyDescent="0.5">
      <c r="Z211" s="6" cm="1">
        <f t="array" ref="Z211:Z215">NORMALIZE(Z204:Z208)</f>
        <v>0.19052697942078073</v>
      </c>
      <c r="AA211" s="6" cm="1">
        <f t="array" ref="AA211:AA215">NORMALIZE(AA204:AA208)</f>
        <v>-0.72074435785900226</v>
      </c>
      <c r="AB211" s="6" cm="1">
        <f t="array" ref="AB211:AB215">NORMALIZE(AB204:AB208)</f>
        <v>0.21049005288384087</v>
      </c>
      <c r="AC211" s="6" cm="1">
        <f t="array" ref="AC211:AC215">NORMALIZE(AC204:AC208)</f>
        <v>-0.55774079757543105</v>
      </c>
      <c r="AD211" s="6" cm="1">
        <f t="array" ref="AD211:AD215">NORMALIZE(AD204:AD208)</f>
        <v>0.17343735730325682</v>
      </c>
      <c r="AE211" s="6" cm="1">
        <f t="array" ref="AE211:AE215">NORMALIZE(AE204:AE208)</f>
        <v>-0.48719521334873456</v>
      </c>
      <c r="AT211" s="2"/>
      <c r="AU211" s="2"/>
      <c r="AV211" s="2"/>
      <c r="CA211"/>
      <c r="CC211" s="2" t="s">
        <v>36</v>
      </c>
      <c r="CD211" s="2"/>
      <c r="CE211" s="2"/>
      <c r="CF211" s="2"/>
      <c r="CG211" s="2"/>
      <c r="CH211" s="2"/>
      <c r="CL211" s="2" t="s">
        <v>37</v>
      </c>
      <c r="CM211" s="2"/>
      <c r="CN211" s="2"/>
      <c r="CO211" s="2"/>
      <c r="CP211" s="2"/>
      <c r="CQ211" s="2"/>
      <c r="CR211"/>
      <c r="CS211"/>
      <c r="CT211"/>
      <c r="CV211" s="2"/>
      <c r="DG211"/>
      <c r="DH211"/>
    </row>
    <row r="212" spans="15:122" x14ac:dyDescent="0.5">
      <c r="Z212" s="7">
        <v>1.3700337258956419</v>
      </c>
      <c r="AA212" s="7">
        <v>-0.86678712556173665</v>
      </c>
      <c r="AB212" s="7">
        <v>1.3837228951414844</v>
      </c>
      <c r="AC212" s="7">
        <v>-5.8560402505642858E-2</v>
      </c>
      <c r="AD212" s="7">
        <v>1.3980269530753129</v>
      </c>
      <c r="AE212" s="7">
        <v>-3.110540776417442E-2</v>
      </c>
      <c r="AT212" s="32"/>
      <c r="AU212" s="32"/>
      <c r="AV212" s="32"/>
      <c r="BZ212" s="3">
        <v>0</v>
      </c>
      <c r="CA212"/>
      <c r="CC212" s="16">
        <v>1</v>
      </c>
      <c r="CD212" s="17">
        <v>1</v>
      </c>
      <c r="CE212" s="17">
        <v>1</v>
      </c>
      <c r="CF212" s="17">
        <v>0</v>
      </c>
      <c r="CG212" s="18">
        <v>1</v>
      </c>
      <c r="CH212" s="2" t="s">
        <v>28</v>
      </c>
      <c r="CL212" s="6" cm="1">
        <f t="array" ref="CL212:CQ217">MMULT(CC212:CG217,_xlfn.ANCHORARRAY(CL204))</f>
        <v>6.9285887815130245</v>
      </c>
      <c r="CM212" s="6">
        <v>8.7142087261395265</v>
      </c>
      <c r="CN212" s="6">
        <v>5.2737337956589911</v>
      </c>
      <c r="CO212" s="6">
        <v>8.0144769763661792</v>
      </c>
      <c r="CP212" s="6">
        <v>5.4696963138645653</v>
      </c>
      <c r="CQ212" s="6">
        <v>8.3769954842149357</v>
      </c>
      <c r="CR212"/>
      <c r="CS212"/>
      <c r="CT212"/>
      <c r="CV212" s="2"/>
    </row>
    <row r="213" spans="15:122" x14ac:dyDescent="0.5">
      <c r="Z213" s="7">
        <v>0.33388867621669382</v>
      </c>
      <c r="AA213" s="7">
        <v>1.5181677034447143</v>
      </c>
      <c r="AB213" s="7">
        <v>-0.4082746789317972</v>
      </c>
      <c r="AC213" s="7">
        <v>1.7422819264620573</v>
      </c>
      <c r="AD213" s="7">
        <v>-0.24125236572172312</v>
      </c>
      <c r="AE213" s="7">
        <v>1.7353358794222704</v>
      </c>
      <c r="CC213" s="19">
        <v>0</v>
      </c>
      <c r="CD213" s="20">
        <v>1</v>
      </c>
      <c r="CE213" s="20">
        <v>0</v>
      </c>
      <c r="CF213" s="20">
        <v>1</v>
      </c>
      <c r="CG213" s="21">
        <v>0</v>
      </c>
      <c r="CH213" s="2" t="s">
        <v>28</v>
      </c>
      <c r="CL213" s="7">
        <v>4.7207224721913086</v>
      </c>
      <c r="CM213" s="7">
        <v>2.7095020741493681</v>
      </c>
      <c r="CN213" s="7">
        <v>5.554994549741247</v>
      </c>
      <c r="CO213" s="7">
        <v>3.4634813105640885</v>
      </c>
      <c r="CP213" s="7">
        <v>5.4641653196053728</v>
      </c>
      <c r="CQ213" s="7">
        <v>3.2959495540104435</v>
      </c>
      <c r="CR213"/>
      <c r="CS213"/>
      <c r="CV213" s="25"/>
    </row>
    <row r="214" spans="15:122" x14ac:dyDescent="0.5">
      <c r="Z214" s="7">
        <v>-0.64931125370433329</v>
      </c>
      <c r="AA214" s="7">
        <v>-0.4237108002888953</v>
      </c>
      <c r="AB214" s="7">
        <v>0.17127165459976279</v>
      </c>
      <c r="AC214" s="7">
        <v>-0.47795828693026859</v>
      </c>
      <c r="AD214" s="7">
        <v>6.6138366530060569E-2</v>
      </c>
      <c r="AE214" s="7">
        <v>-0.67294503822538176</v>
      </c>
      <c r="AT214" s="2"/>
      <c r="AU214" s="2"/>
      <c r="AV214" s="2"/>
      <c r="CC214" s="22">
        <v>1</v>
      </c>
      <c r="CD214" s="23">
        <v>0</v>
      </c>
      <c r="CE214" s="23">
        <v>0</v>
      </c>
      <c r="CF214" s="23">
        <v>1</v>
      </c>
      <c r="CG214" s="24">
        <v>1</v>
      </c>
      <c r="CH214" s="2" t="s">
        <v>28</v>
      </c>
      <c r="CL214" s="8">
        <v>2.2414664494796628</v>
      </c>
      <c r="CM214" s="8">
        <v>4.1209496445229394</v>
      </c>
      <c r="CN214" s="8">
        <v>2.8778319129808634</v>
      </c>
      <c r="CO214" s="8">
        <v>2.11051523901744</v>
      </c>
      <c r="CP214" s="8">
        <v>2.6203124587627591</v>
      </c>
      <c r="CQ214" s="8">
        <v>2.2644840949091876</v>
      </c>
      <c r="CR214"/>
      <c r="CS214"/>
      <c r="CV214" s="3" t="s">
        <v>30</v>
      </c>
    </row>
    <row r="215" spans="15:122" x14ac:dyDescent="0.5">
      <c r="Z215" s="8">
        <v>-1.2451381278287827</v>
      </c>
      <c r="AA215" s="8">
        <v>0.4930745802649199</v>
      </c>
      <c r="AB215" s="8">
        <v>-1.3572099236932906</v>
      </c>
      <c r="AC215" s="8">
        <v>-0.64802243945071458</v>
      </c>
      <c r="AD215" s="8">
        <v>-1.3963503111869076</v>
      </c>
      <c r="AE215" s="8">
        <v>-0.54409022008398078</v>
      </c>
      <c r="AT215" s="2"/>
      <c r="AU215" s="2"/>
      <c r="AV215" s="2"/>
      <c r="BZ215" s="3">
        <v>1</v>
      </c>
      <c r="CC215" s="16">
        <v>0</v>
      </c>
      <c r="CD215" s="17">
        <v>0</v>
      </c>
      <c r="CE215" s="17">
        <v>1</v>
      </c>
      <c r="CF215" s="17">
        <v>0</v>
      </c>
      <c r="CG215" s="18">
        <v>1</v>
      </c>
      <c r="CH215" s="2" t="s">
        <v>28</v>
      </c>
      <c r="CL215" s="6">
        <v>0.17750109677582215</v>
      </c>
      <c r="CM215" s="6">
        <v>6.0224845674192684</v>
      </c>
      <c r="CN215" s="6">
        <v>-1.5309692052501758</v>
      </c>
      <c r="CO215" s="6">
        <v>4.1885189740226849</v>
      </c>
      <c r="CP215" s="6">
        <v>-1.2752053538172614</v>
      </c>
      <c r="CQ215" s="6">
        <v>4.3824913186765793</v>
      </c>
      <c r="CR215"/>
      <c r="CS215"/>
      <c r="CV215" s="2">
        <v>1</v>
      </c>
      <c r="CX215" s="2"/>
      <c r="DA215" s="2" t="s">
        <v>33</v>
      </c>
    </row>
    <row r="216" spans="15:122" x14ac:dyDescent="0.5">
      <c r="O216" s="25" t="s">
        <v>41</v>
      </c>
      <c r="P216" s="2"/>
      <c r="Q216" s="2"/>
      <c r="R216" s="2"/>
      <c r="S216" s="2"/>
      <c r="T216" s="2"/>
      <c r="Z216" s="2">
        <v>1</v>
      </c>
      <c r="AA216" s="2">
        <v>1</v>
      </c>
      <c r="AB216" s="2">
        <v>1</v>
      </c>
      <c r="AC216" s="2">
        <v>1</v>
      </c>
      <c r="AD216" s="2">
        <v>1</v>
      </c>
      <c r="AE216" s="2">
        <v>1</v>
      </c>
      <c r="AV216" s="2"/>
      <c r="CC216" s="19">
        <v>0</v>
      </c>
      <c r="CD216" s="20">
        <v>1</v>
      </c>
      <c r="CE216" s="20">
        <v>0</v>
      </c>
      <c r="CF216" s="20">
        <v>1</v>
      </c>
      <c r="CG216" s="21">
        <v>0</v>
      </c>
      <c r="CH216" s="2" t="s">
        <v>28</v>
      </c>
      <c r="CL216" s="7">
        <v>4.7207224721913086</v>
      </c>
      <c r="CM216" s="7">
        <v>2.7095020741493681</v>
      </c>
      <c r="CN216" s="7">
        <v>5.554994549741247</v>
      </c>
      <c r="CO216" s="7">
        <v>3.4634813105640885</v>
      </c>
      <c r="CP216" s="7">
        <v>5.4641653196053728</v>
      </c>
      <c r="CQ216" s="7">
        <v>3.2959495540104435</v>
      </c>
      <c r="CR216"/>
      <c r="CS216"/>
      <c r="CV216" s="2"/>
      <c r="CW216" s="2"/>
      <c r="CX216" s="2"/>
      <c r="CZ216" s="2"/>
      <c r="DA216" s="6" cm="1">
        <f t="array" ref="DA216:DH218">CL194:CS196</f>
        <v>6.494532657191912</v>
      </c>
      <c r="DB216" s="6">
        <v>17.041917291468035</v>
      </c>
      <c r="DC216" s="6">
        <v>9.61976609601337</v>
      </c>
      <c r="DD216" s="6">
        <v>10.544937677307702</v>
      </c>
      <c r="DE216" s="6">
        <v>13.73847434437587</v>
      </c>
      <c r="DF216" s="6">
        <v>15.227469179354035</v>
      </c>
      <c r="DG216" s="6">
        <v>9.1101033002578831</v>
      </c>
      <c r="DH216" s="6">
        <v>8.7857518804015129</v>
      </c>
    </row>
    <row r="217" spans="15:122" x14ac:dyDescent="0.5">
      <c r="O217" s="3" t="s">
        <v>42</v>
      </c>
      <c r="P217" s="2"/>
      <c r="Q217" s="2"/>
      <c r="R217" s="2"/>
      <c r="S217" s="2"/>
      <c r="T217" s="3" t="s">
        <v>43</v>
      </c>
      <c r="Z217" s="2" t="s">
        <v>27</v>
      </c>
      <c r="AA217" s="2" t="s">
        <v>27</v>
      </c>
      <c r="AB217" s="2" t="s">
        <v>27</v>
      </c>
      <c r="AC217" s="2" t="s">
        <v>27</v>
      </c>
      <c r="AD217" s="2" t="s">
        <v>27</v>
      </c>
      <c r="AE217" s="2" t="s">
        <v>27</v>
      </c>
      <c r="AV217" s="2"/>
      <c r="CC217" s="22">
        <v>1</v>
      </c>
      <c r="CD217" s="23">
        <v>0</v>
      </c>
      <c r="CE217" s="23">
        <v>1</v>
      </c>
      <c r="CF217" s="23">
        <v>0</v>
      </c>
      <c r="CG217" s="24">
        <v>0</v>
      </c>
      <c r="CH217" s="2" t="s">
        <v>28</v>
      </c>
      <c r="CL217" s="8">
        <v>3.0488313112749488</v>
      </c>
      <c r="CM217" s="8">
        <v>3.5948466911714241</v>
      </c>
      <c r="CN217" s="8">
        <v>1.6044307479040874</v>
      </c>
      <c r="CO217" s="8">
        <v>4.3690822577732522</v>
      </c>
      <c r="CP217" s="8">
        <v>1.8643699831630673</v>
      </c>
      <c r="CQ217" s="8">
        <v>4.4962813321470723</v>
      </c>
      <c r="CR217"/>
      <c r="CS217"/>
      <c r="CV217" s="2"/>
      <c r="CW217" s="2"/>
      <c r="CX217" s="2"/>
      <c r="CZ217" s="2"/>
      <c r="DA217" s="7">
        <v>12.117607322893448</v>
      </c>
      <c r="DB217" s="7">
        <v>16.268612225090514</v>
      </c>
      <c r="DC217" s="7">
        <v>15.002482190040762</v>
      </c>
      <c r="DD217" s="7">
        <v>16.004213932871814</v>
      </c>
      <c r="DE217" s="7">
        <v>16.269840868520877</v>
      </c>
      <c r="DF217" s="7">
        <v>16.618326403248854</v>
      </c>
      <c r="DG217" s="7">
        <v>14.067493449138151</v>
      </c>
      <c r="DH217" s="7">
        <v>13.678888417913992</v>
      </c>
    </row>
    <row r="218" spans="15:122" x14ac:dyDescent="0.5">
      <c r="O218" s="16">
        <v>2</v>
      </c>
      <c r="P218" s="33">
        <v>0</v>
      </c>
      <c r="Q218" s="33">
        <v>0</v>
      </c>
      <c r="R218" s="33">
        <v>0</v>
      </c>
      <c r="S218" s="33">
        <v>0</v>
      </c>
      <c r="T218" s="34">
        <v>2</v>
      </c>
      <c r="U218" s="2" t="s">
        <v>28</v>
      </c>
      <c r="Z218" s="35" cm="1">
        <f t="array" ref="Z218:AE222">MMULT(O218:T222,Z211:AE216)</f>
        <v>2.3810539588415613</v>
      </c>
      <c r="AA218" s="35">
        <v>0.55851128428199548</v>
      </c>
      <c r="AB218" s="35">
        <v>2.4209801057676819</v>
      </c>
      <c r="AC218" s="35">
        <v>0.88451840484913791</v>
      </c>
      <c r="AD218" s="35">
        <v>2.3468747146065136</v>
      </c>
      <c r="AE218" s="35">
        <v>1.025609573302531</v>
      </c>
      <c r="AV218" s="2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V218" s="2"/>
      <c r="CW218" s="2"/>
      <c r="CX218" s="2"/>
      <c r="CZ218" s="2"/>
      <c r="DA218" s="8">
        <v>3.1214687173022551</v>
      </c>
      <c r="DB218" s="8">
        <v>-3.0532309869556689</v>
      </c>
      <c r="DC218" s="8">
        <v>2.0713002561888887</v>
      </c>
      <c r="DD218" s="8">
        <v>2.3713926234180231</v>
      </c>
      <c r="DE218" s="8">
        <v>-1.4574006615082244</v>
      </c>
      <c r="DF218" s="8">
        <v>-1.9329839964803994</v>
      </c>
      <c r="DG218" s="8">
        <v>2.1912787331758024</v>
      </c>
      <c r="DH218" s="8">
        <v>2.3162625154360876</v>
      </c>
    </row>
    <row r="219" spans="15:122" x14ac:dyDescent="0.5">
      <c r="O219" s="38">
        <v>0</v>
      </c>
      <c r="P219" s="20">
        <v>1</v>
      </c>
      <c r="Q219" s="2">
        <v>0</v>
      </c>
      <c r="R219" s="2">
        <v>0</v>
      </c>
      <c r="S219" s="2">
        <v>0</v>
      </c>
      <c r="T219" s="39">
        <v>3</v>
      </c>
      <c r="U219" s="2" t="s">
        <v>28</v>
      </c>
      <c r="Z219" s="36">
        <v>4.3700337258956417</v>
      </c>
      <c r="AA219" s="36">
        <v>2.1332128744382635</v>
      </c>
      <c r="AB219" s="36">
        <v>4.3837228951414842</v>
      </c>
      <c r="AC219" s="36">
        <v>2.941439597494357</v>
      </c>
      <c r="AD219" s="36">
        <v>4.3980269530753127</v>
      </c>
      <c r="AE219" s="36">
        <v>2.9688945922358254</v>
      </c>
      <c r="AV219" s="2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V219" s="2"/>
      <c r="CW219" s="2"/>
      <c r="CX219" s="2"/>
      <c r="CZ219" s="2"/>
      <c r="DA219" s="2"/>
      <c r="DB219" s="2"/>
      <c r="DC219" s="2"/>
      <c r="DD219" s="2"/>
    </row>
    <row r="220" spans="15:122" x14ac:dyDescent="0.5">
      <c r="O220" s="38">
        <v>0</v>
      </c>
      <c r="P220" s="2">
        <v>0</v>
      </c>
      <c r="Q220" s="20">
        <v>2</v>
      </c>
      <c r="R220" s="2">
        <v>0</v>
      </c>
      <c r="S220" s="2">
        <v>0</v>
      </c>
      <c r="T220" s="39">
        <v>0</v>
      </c>
      <c r="U220" s="2" t="s">
        <v>28</v>
      </c>
      <c r="Z220" s="36">
        <v>0.66777735243338765</v>
      </c>
      <c r="AA220" s="36">
        <v>3.0363354068894286</v>
      </c>
      <c r="AB220" s="36">
        <v>-0.81654935786359439</v>
      </c>
      <c r="AC220" s="36">
        <v>3.4845638529241145</v>
      </c>
      <c r="AD220" s="36">
        <v>-0.48250473144344624</v>
      </c>
      <c r="AE220" s="36">
        <v>3.4706717588445408</v>
      </c>
      <c r="AV220" s="2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V220" s="2"/>
      <c r="CW220" s="2"/>
      <c r="CX220" s="2"/>
      <c r="CZ220" s="2"/>
      <c r="DA220" s="25" t="s">
        <v>34</v>
      </c>
      <c r="DB220" s="2"/>
      <c r="DC220" s="2"/>
      <c r="DD220" s="2"/>
      <c r="DJ220" s="2" t="s">
        <v>3</v>
      </c>
      <c r="DK220" s="2">
        <v>0</v>
      </c>
      <c r="DL220" s="2">
        <v>1</v>
      </c>
      <c r="DM220" s="2">
        <v>2</v>
      </c>
      <c r="DN220" s="2">
        <v>3</v>
      </c>
      <c r="DO220" s="2">
        <v>4</v>
      </c>
      <c r="DP220" s="2">
        <v>5</v>
      </c>
      <c r="DQ220" s="2">
        <v>6</v>
      </c>
      <c r="DR220" s="2">
        <v>7</v>
      </c>
    </row>
    <row r="221" spans="15:122" x14ac:dyDescent="0.5">
      <c r="O221" s="38">
        <v>0</v>
      </c>
      <c r="P221" s="2">
        <v>0</v>
      </c>
      <c r="Q221" s="2">
        <v>0</v>
      </c>
      <c r="R221" s="20">
        <v>1</v>
      </c>
      <c r="S221" s="2">
        <v>0</v>
      </c>
      <c r="T221" s="39">
        <v>1</v>
      </c>
      <c r="U221" s="2" t="s">
        <v>28</v>
      </c>
      <c r="Z221" s="36">
        <v>0.35068874629566671</v>
      </c>
      <c r="AA221" s="36">
        <v>0.5762891997111047</v>
      </c>
      <c r="AB221" s="36">
        <v>1.1712716545997628</v>
      </c>
      <c r="AC221" s="36">
        <v>0.52204171306973146</v>
      </c>
      <c r="AD221" s="36">
        <v>1.0661383665300606</v>
      </c>
      <c r="AE221" s="36">
        <v>0.32705496177461824</v>
      </c>
      <c r="AV221" s="2"/>
      <c r="CR221"/>
      <c r="CS221"/>
      <c r="CV221" s="2"/>
      <c r="CW221" s="2" t="s">
        <v>35</v>
      </c>
      <c r="CX221" s="2"/>
      <c r="CZ221" s="2"/>
      <c r="DA221" s="2" t="s">
        <v>27</v>
      </c>
      <c r="DB221" s="2" t="s">
        <v>27</v>
      </c>
      <c r="DC221" s="2" t="s">
        <v>27</v>
      </c>
      <c r="DD221" s="2" t="s">
        <v>27</v>
      </c>
      <c r="DE221" s="2" t="s">
        <v>27</v>
      </c>
      <c r="DF221" s="2" t="s">
        <v>27</v>
      </c>
      <c r="DG221" s="2" t="s">
        <v>27</v>
      </c>
      <c r="DH221" s="2" t="s">
        <v>27</v>
      </c>
      <c r="DJ221" s="2"/>
      <c r="DK221" s="2"/>
      <c r="DL221" s="2"/>
      <c r="DM221" s="2"/>
      <c r="DN221" s="2"/>
      <c r="DO221" s="2"/>
      <c r="DP221" s="2"/>
      <c r="DQ221" s="2"/>
      <c r="DR221" s="2"/>
    </row>
    <row r="222" spans="15:122" x14ac:dyDescent="0.5">
      <c r="O222" s="40">
        <v>0</v>
      </c>
      <c r="P222" s="41">
        <v>0</v>
      </c>
      <c r="Q222" s="41">
        <v>0</v>
      </c>
      <c r="R222" s="41">
        <v>0</v>
      </c>
      <c r="S222" s="23">
        <v>2</v>
      </c>
      <c r="T222" s="42">
        <v>2</v>
      </c>
      <c r="U222" s="2" t="s">
        <v>28</v>
      </c>
      <c r="Z222" s="37">
        <v>-0.4902762556575655</v>
      </c>
      <c r="AA222" s="37">
        <v>2.9861491605298398</v>
      </c>
      <c r="AB222" s="37">
        <v>-0.71441984738658126</v>
      </c>
      <c r="AC222" s="37">
        <v>0.70395512109857084</v>
      </c>
      <c r="AD222" s="37">
        <v>-0.79270062237381511</v>
      </c>
      <c r="AE222" s="37">
        <v>0.91181955983203844</v>
      </c>
      <c r="AV222" s="2"/>
      <c r="CR222"/>
      <c r="CS222"/>
      <c r="CV222" s="2"/>
      <c r="CW222" s="26" cm="1">
        <f t="array" ref="CW222:CY227">TRANSPOSE(CL215:CQ217)</f>
        <v>0.17750109677582215</v>
      </c>
      <c r="CX222" s="27">
        <v>4.7207224721913086</v>
      </c>
      <c r="CY222" s="28">
        <v>3.0488313112749488</v>
      </c>
      <c r="CZ222" s="2" t="s">
        <v>28</v>
      </c>
      <c r="DA222" s="6" cm="1">
        <f t="array" ref="DA222:DH227">MMULT(CW222:CY227,_xlfn.ANCHORARRAY(DA216))/SQRT(3)</f>
        <v>39.186771620063062</v>
      </c>
      <c r="DB222" s="6">
        <v>40.712302312967772</v>
      </c>
      <c r="DC222" s="6">
        <v>45.521250633942316</v>
      </c>
      <c r="DD222" s="6">
        <v>48.87452843617406</v>
      </c>
      <c r="DE222" s="6">
        <v>43.186163231705677</v>
      </c>
      <c r="DF222" s="6">
        <v>43.451414312409987</v>
      </c>
      <c r="DG222" s="6">
        <v>43.131890050375326</v>
      </c>
      <c r="DH222" s="6">
        <v>42.25950526748553</v>
      </c>
      <c r="DK222" s="6" cm="1">
        <f t="array" ref="DK222:DK227">SOFTMAX(DA222:DA227)</f>
        <v>5.9249406562736759E-5</v>
      </c>
      <c r="DL222" s="6" cm="1">
        <f t="array" ref="DL222:DL227">SOFTMAX(DB222:DB227)</f>
        <v>4.4260509521761714E-17</v>
      </c>
      <c r="DM222" s="6" cm="1">
        <f t="array" ref="DM222:DM227">SOFTMAX(DC222:DC227)</f>
        <v>1.365680294449443E-7</v>
      </c>
      <c r="DN222" s="6" cm="1">
        <f t="array" ref="DN222:DN227">SOFTMAX(DD222:DD227)</f>
        <v>1.8144482196373036E-8</v>
      </c>
      <c r="DO222" s="6" cm="1">
        <f t="array" ref="DO222:DO227">SOFTMAX(DE222:DE227)</f>
        <v>1.8592912781598055E-12</v>
      </c>
      <c r="DP222" s="6" cm="1">
        <f t="array" ref="DP222:DP227">SOFTMAX(DF222:DF227)</f>
        <v>2.1289340239834928E-14</v>
      </c>
      <c r="DQ222" s="6" cm="1">
        <f t="array" ref="DQ222:DQ227">SOFTMAX(DG222:DG227)</f>
        <v>2.421448248808365E-7</v>
      </c>
      <c r="DR222" s="6" cm="1">
        <f t="array" ref="DR222:DR227">SOFTMAX(DH222:DH227)</f>
        <v>4.2863116713228303E-7</v>
      </c>
    </row>
    <row r="223" spans="15:122" x14ac:dyDescent="0.5">
      <c r="AV223" s="2"/>
      <c r="AW223" s="2"/>
      <c r="AX223" s="2"/>
      <c r="AY223" s="2"/>
      <c r="AZ223" s="2"/>
      <c r="BA223" s="2"/>
      <c r="BB223" s="2"/>
      <c r="BZ223"/>
      <c r="CA223"/>
      <c r="CB223" s="2"/>
      <c r="CC223" s="2"/>
      <c r="CD223" s="2"/>
      <c r="CE223" s="2"/>
      <c r="CF223" s="2"/>
      <c r="CG223" s="2"/>
      <c r="CH223" s="2"/>
      <c r="CM223" s="2"/>
      <c r="CN223" s="2"/>
      <c r="CO223" s="2"/>
      <c r="CR223"/>
      <c r="CS223"/>
      <c r="CT223"/>
      <c r="CV223" s="2"/>
      <c r="CW223" s="26">
        <v>6.0224845674192684</v>
      </c>
      <c r="CX223" s="27">
        <v>2.7095020741493681</v>
      </c>
      <c r="CY223" s="28">
        <v>3.5948466911714241</v>
      </c>
      <c r="CZ223" s="2" t="s">
        <v>28</v>
      </c>
      <c r="DA223" s="7">
        <v>48.016551247921733</v>
      </c>
      <c r="DB223" s="7">
        <v>78.368731766131432</v>
      </c>
      <c r="DC223" s="7">
        <v>61.216539304603955</v>
      </c>
      <c r="DD223" s="7">
        <v>66.623315952239352</v>
      </c>
      <c r="DE223" s="7">
        <v>70.196431202355413</v>
      </c>
      <c r="DF223" s="7">
        <v>74.931870532331487</v>
      </c>
      <c r="DG223" s="7">
        <v>58.23078045665325</v>
      </c>
      <c r="DH223" s="7">
        <v>56.754478484823196</v>
      </c>
      <c r="DK223" s="7">
        <v>0.40495668591244682</v>
      </c>
      <c r="DL223" s="7">
        <v>0.99999062588591503</v>
      </c>
      <c r="DM223" s="7">
        <v>0.89480067804953223</v>
      </c>
      <c r="DN223" s="7">
        <v>0.9267125779799702</v>
      </c>
      <c r="DO223" s="7">
        <v>0.99944239210836361</v>
      </c>
      <c r="DP223" s="7">
        <v>0.99988632069344996</v>
      </c>
      <c r="DQ223" s="7">
        <v>0.87385621237818289</v>
      </c>
      <c r="DR223" s="7">
        <v>0.84561101289023233</v>
      </c>
    </row>
    <row r="224" spans="15:122" x14ac:dyDescent="0.5">
      <c r="BZ224"/>
      <c r="CA224"/>
      <c r="CC224" s="90" t="s">
        <v>39</v>
      </c>
      <c r="CD224" s="2"/>
      <c r="CE224" s="2"/>
      <c r="CF224" s="2"/>
      <c r="CG224" s="2"/>
      <c r="CH224" s="2"/>
      <c r="CL224" s="2" t="s">
        <v>38</v>
      </c>
      <c r="CM224" s="2"/>
      <c r="CN224" s="2"/>
      <c r="CO224" s="2"/>
      <c r="CP224" s="2"/>
      <c r="CQ224" s="2"/>
      <c r="CR224"/>
      <c r="CS224"/>
      <c r="CT224"/>
      <c r="CW224" s="26">
        <v>-1.5309692052501758</v>
      </c>
      <c r="CX224" s="27">
        <v>5.554994549741247</v>
      </c>
      <c r="CY224" s="28">
        <v>1.6044307479040874</v>
      </c>
      <c r="CZ224" s="2" t="s">
        <v>28</v>
      </c>
      <c r="DA224" s="7">
        <v>36.014240026908233</v>
      </c>
      <c r="DB224" s="7">
        <v>34.2846201365181</v>
      </c>
      <c r="DC224" s="7">
        <v>41.531344605126939</v>
      </c>
      <c r="DD224" s="7">
        <v>44.204293096105147</v>
      </c>
      <c r="DE224" s="7">
        <v>38.686739139104404</v>
      </c>
      <c r="DF224" s="7">
        <v>38.047721788092495</v>
      </c>
      <c r="DG224" s="7">
        <v>39.094301685594857</v>
      </c>
      <c r="DH224" s="7">
        <v>38.250447125822028</v>
      </c>
      <c r="DK224" s="7">
        <v>2.4823958713736348E-6</v>
      </c>
      <c r="DL224" s="7">
        <v>7.1533505555413988E-20</v>
      </c>
      <c r="DM224" s="7">
        <v>2.5267069291260548E-9</v>
      </c>
      <c r="DN224" s="7">
        <v>1.7001496153110362E-10</v>
      </c>
      <c r="DO224" s="7">
        <v>2.0666759085519185E-14</v>
      </c>
      <c r="DP224" s="7">
        <v>9.5800628345493337E-17</v>
      </c>
      <c r="DQ224" s="7">
        <v>4.2714255855129306E-9</v>
      </c>
      <c r="DR224" s="7">
        <v>7.7798624430561356E-9</v>
      </c>
    </row>
    <row r="225" spans="78:122" x14ac:dyDescent="0.5">
      <c r="BZ225">
        <v>0</v>
      </c>
      <c r="CA225"/>
      <c r="CC225" s="16">
        <v>1</v>
      </c>
      <c r="CD225" s="17">
        <v>0</v>
      </c>
      <c r="CE225" s="17">
        <v>0</v>
      </c>
      <c r="CF225" s="17">
        <v>0</v>
      </c>
      <c r="CG225" s="18">
        <v>1</v>
      </c>
      <c r="CH225" s="2" t="s">
        <v>28</v>
      </c>
      <c r="CL225" s="6" cm="1">
        <f t="array" ref="CL225:CQ230">MMULT(CC225:CG230,_xlfn.ANCHORARRAY(CL204))</f>
        <v>1.8907777031839959</v>
      </c>
      <c r="CM225" s="6">
        <v>3.5446604448118353</v>
      </c>
      <c r="CN225" s="6">
        <v>1.7065602583811006</v>
      </c>
      <c r="CO225" s="6">
        <v>1.5884735259477087</v>
      </c>
      <c r="CP225" s="6">
        <v>1.5541740922326985</v>
      </c>
      <c r="CQ225" s="6">
        <v>1.9374291331345694</v>
      </c>
      <c r="CR225"/>
      <c r="CS225"/>
      <c r="CT225"/>
      <c r="CW225" s="26">
        <v>4.1885189740226849</v>
      </c>
      <c r="CX225" s="27">
        <v>3.4634813105640885</v>
      </c>
      <c r="CY225" s="28">
        <v>4.3690822577732522</v>
      </c>
      <c r="CZ225" s="2" t="s">
        <v>28</v>
      </c>
      <c r="DA225" s="7">
        <v>47.810106367980069</v>
      </c>
      <c r="DB225" s="7">
        <v>66.041140644146097</v>
      </c>
      <c r="DC225" s="7">
        <v>58.487355136027986</v>
      </c>
      <c r="DD225" s="7">
        <v>63.484729399820637</v>
      </c>
      <c r="DE225" s="7">
        <v>62.08053851363568</v>
      </c>
      <c r="DF225" s="7">
        <v>65.178480860761184</v>
      </c>
      <c r="DG225" s="7">
        <v>55.687868848574858</v>
      </c>
      <c r="DH225" s="7">
        <v>54.441707994550931</v>
      </c>
      <c r="DK225" s="7">
        <v>0.32942056025384375</v>
      </c>
      <c r="DL225" s="7">
        <v>4.4278319471922766E-6</v>
      </c>
      <c r="DM225" s="7">
        <v>5.8405894549431792E-2</v>
      </c>
      <c r="DN225" s="7">
        <v>4.0167447702668606E-2</v>
      </c>
      <c r="DO225" s="7">
        <v>2.9858662920836774E-4</v>
      </c>
      <c r="DP225" s="7">
        <v>5.8090794015620256E-5</v>
      </c>
      <c r="DQ225" s="7">
        <v>6.8717523350885587E-2</v>
      </c>
      <c r="DR225" s="7">
        <v>8.3704184306262808E-2</v>
      </c>
    </row>
    <row r="226" spans="78:122" x14ac:dyDescent="0.5">
      <c r="CC226" s="19">
        <v>0</v>
      </c>
      <c r="CD226" s="20">
        <v>1</v>
      </c>
      <c r="CE226" s="20">
        <v>1</v>
      </c>
      <c r="CF226" s="20">
        <v>0</v>
      </c>
      <c r="CG226" s="21">
        <v>0</v>
      </c>
      <c r="CH226" s="2" t="s">
        <v>28</v>
      </c>
      <c r="CL226" s="7">
        <v>5.0378110783290291</v>
      </c>
      <c r="CM226" s="7">
        <v>5.1695482813276925</v>
      </c>
      <c r="CN226" s="7">
        <v>3.5671735372778897</v>
      </c>
      <c r="CO226" s="7">
        <v>6.426003450418472</v>
      </c>
      <c r="CP226" s="7">
        <v>3.9155222216318664</v>
      </c>
      <c r="CQ226" s="7">
        <v>6.4395663510803658</v>
      </c>
      <c r="CR226"/>
      <c r="CS226"/>
      <c r="CW226" s="26">
        <v>-1.2752053538172614</v>
      </c>
      <c r="CX226" s="27">
        <v>5.4641653196053728</v>
      </c>
      <c r="CY226" s="28">
        <v>1.8643699831630673</v>
      </c>
      <c r="CZ226" s="2" t="s">
        <v>28</v>
      </c>
      <c r="DA226" s="7">
        <v>36.806264098430063</v>
      </c>
      <c r="DB226" s="7">
        <v>35.489773207977123</v>
      </c>
      <c r="DC226" s="7">
        <v>42.475968583007564</v>
      </c>
      <c r="DD226" s="7">
        <v>45.278038404221242</v>
      </c>
      <c r="DE226" s="7">
        <v>39.643519604174351</v>
      </c>
      <c r="DF226" s="7">
        <v>39.134726846774058</v>
      </c>
      <c r="DG226" s="7">
        <v>40.030703099544411</v>
      </c>
      <c r="DH226" s="7">
        <v>39.178088702184624</v>
      </c>
      <c r="DK226" s="7">
        <v>5.4807844718563844E-6</v>
      </c>
      <c r="DL226" s="7">
        <v>2.3872661348240322E-19</v>
      </c>
      <c r="DM226" s="7">
        <v>6.4983014264890445E-9</v>
      </c>
      <c r="DN226" s="7">
        <v>4.9751800669242638E-10</v>
      </c>
      <c r="DO226" s="7">
        <v>5.3801805889132584E-14</v>
      </c>
      <c r="DP226" s="7">
        <v>2.8408523107797278E-16</v>
      </c>
      <c r="DQ226" s="7">
        <v>1.0895491134248117E-8</v>
      </c>
      <c r="DR226" s="7">
        <v>1.9671683846777743E-8</v>
      </c>
    </row>
    <row r="227" spans="78:122" x14ac:dyDescent="0.5">
      <c r="CA227"/>
      <c r="CC227" s="22">
        <v>0</v>
      </c>
      <c r="CD227" s="23">
        <v>1</v>
      </c>
      <c r="CE227" s="23">
        <v>0</v>
      </c>
      <c r="CF227" s="23">
        <v>1</v>
      </c>
      <c r="CG227" s="24">
        <v>0</v>
      </c>
      <c r="CH227" s="2" t="s">
        <v>28</v>
      </c>
      <c r="CL227" s="8">
        <v>4.7207224721913086</v>
      </c>
      <c r="CM227" s="8">
        <v>2.7095020741493681</v>
      </c>
      <c r="CN227" s="8">
        <v>5.554994549741247</v>
      </c>
      <c r="CO227" s="8">
        <v>3.4634813105640885</v>
      </c>
      <c r="CP227" s="8">
        <v>5.4641653196053728</v>
      </c>
      <c r="CQ227" s="8">
        <v>3.2959495540104435</v>
      </c>
      <c r="CR227"/>
      <c r="CS227"/>
      <c r="CT227"/>
      <c r="CW227" s="26">
        <v>4.3824913186765793</v>
      </c>
      <c r="CX227" s="27">
        <v>3.2959495540104435</v>
      </c>
      <c r="CY227" s="28">
        <v>4.4962813321470723</v>
      </c>
      <c r="CZ227" s="2" t="s">
        <v>28</v>
      </c>
      <c r="DA227" s="8">
        <v>47.594595148605912</v>
      </c>
      <c r="DB227" s="8">
        <v>66.151866793423011</v>
      </c>
      <c r="DC227" s="8">
        <v>58.265677958729697</v>
      </c>
      <c r="DD227" s="8">
        <v>63.29180847694591</v>
      </c>
      <c r="DE227" s="8">
        <v>61.93838855298479</v>
      </c>
      <c r="DF227" s="8">
        <v>65.134450230566998</v>
      </c>
      <c r="DG227" s="8">
        <v>55.508361894889006</v>
      </c>
      <c r="DH227" s="8">
        <v>54.272643170750328</v>
      </c>
      <c r="DK227" s="8">
        <v>0.26555554124680336</v>
      </c>
      <c r="DL227" s="8">
        <v>4.9462821377718794E-6</v>
      </c>
      <c r="DM227" s="8">
        <v>4.6793281807998209E-2</v>
      </c>
      <c r="DN227" s="8">
        <v>3.3119955505346153E-2</v>
      </c>
      <c r="DO227" s="8">
        <v>2.5902126049423346E-4</v>
      </c>
      <c r="DP227" s="8">
        <v>5.5588512512989517E-5</v>
      </c>
      <c r="DQ227" s="8">
        <v>5.7426006959189653E-2</v>
      </c>
      <c r="DR227" s="8">
        <v>7.0684346720791463E-2</v>
      </c>
    </row>
    <row r="228" spans="78:122" x14ac:dyDescent="0.5">
      <c r="BZ228" s="3">
        <v>1</v>
      </c>
      <c r="CC228" s="16">
        <v>1</v>
      </c>
      <c r="CD228" s="17">
        <v>1</v>
      </c>
      <c r="CE228" s="17">
        <v>0</v>
      </c>
      <c r="CF228" s="17">
        <v>0</v>
      </c>
      <c r="CG228" s="18">
        <v>1</v>
      </c>
      <c r="CH228" s="2" t="s">
        <v>28</v>
      </c>
      <c r="CL228" s="6">
        <v>6.2608114290796379</v>
      </c>
      <c r="CM228" s="6">
        <v>5.6778733192500983</v>
      </c>
      <c r="CN228" s="6">
        <v>6.0902831535225843</v>
      </c>
      <c r="CO228" s="6">
        <v>4.529913123442066</v>
      </c>
      <c r="CP228" s="6">
        <v>5.9522010453080121</v>
      </c>
      <c r="CQ228" s="6">
        <v>4.9063237253703953</v>
      </c>
      <c r="CR228"/>
      <c r="CS228"/>
    </row>
    <row r="229" spans="78:122" x14ac:dyDescent="0.5">
      <c r="CC229" s="19">
        <v>1</v>
      </c>
      <c r="CD229" s="20">
        <v>0</v>
      </c>
      <c r="CE229" s="20">
        <v>1</v>
      </c>
      <c r="CF229" s="20">
        <v>1</v>
      </c>
      <c r="CG229" s="21">
        <v>0</v>
      </c>
      <c r="CH229" s="2" t="s">
        <v>28</v>
      </c>
      <c r="CL229" s="7">
        <v>3.3995200575706157</v>
      </c>
      <c r="CM229" s="7">
        <v>4.1711358908825291</v>
      </c>
      <c r="CN229" s="7">
        <v>2.7757024025038501</v>
      </c>
      <c r="CO229" s="7">
        <v>4.8911239708429832</v>
      </c>
      <c r="CP229" s="7">
        <v>2.9305083496931279</v>
      </c>
      <c r="CQ229" s="7">
        <v>4.8233362939216908</v>
      </c>
      <c r="CR229"/>
      <c r="CS229"/>
    </row>
    <row r="230" spans="78:122" x14ac:dyDescent="0.5">
      <c r="CC230" s="22">
        <v>0</v>
      </c>
      <c r="CD230" s="23">
        <v>1</v>
      </c>
      <c r="CE230" s="23">
        <v>1</v>
      </c>
      <c r="CF230" s="23">
        <v>1</v>
      </c>
      <c r="CG230" s="24">
        <v>0</v>
      </c>
      <c r="CH230" s="2" t="s">
        <v>28</v>
      </c>
      <c r="CL230" s="8">
        <v>5.388499824624696</v>
      </c>
      <c r="CM230" s="8">
        <v>5.7458374810387971</v>
      </c>
      <c r="CN230" s="8">
        <v>4.738445191877652</v>
      </c>
      <c r="CO230" s="8">
        <v>6.948045163488203</v>
      </c>
      <c r="CP230" s="8">
        <v>4.9816605881619269</v>
      </c>
      <c r="CQ230" s="8">
        <v>6.7666213128549844</v>
      </c>
      <c r="CR230"/>
      <c r="CS230"/>
      <c r="DG230"/>
      <c r="DH230"/>
    </row>
    <row r="231" spans="78:122" x14ac:dyDescent="0.5">
      <c r="CR231"/>
      <c r="CS231"/>
      <c r="DA231" s="3" t="s">
        <v>38</v>
      </c>
      <c r="DB231" s="2"/>
      <c r="DC231" s="2"/>
      <c r="DE231" s="2"/>
      <c r="DF231" s="2"/>
      <c r="DG231"/>
      <c r="DH231"/>
      <c r="DK231" s="2" t="s">
        <v>27</v>
      </c>
      <c r="DL231" s="2" t="s">
        <v>27</v>
      </c>
      <c r="DM231" s="2" t="s">
        <v>27</v>
      </c>
      <c r="DN231" s="2" t="s">
        <v>27</v>
      </c>
      <c r="DO231" s="2" t="s">
        <v>27</v>
      </c>
      <c r="DP231" s="2" t="s">
        <v>27</v>
      </c>
      <c r="DQ231" s="2" t="s">
        <v>27</v>
      </c>
      <c r="DR231" s="2" t="s">
        <v>27</v>
      </c>
    </row>
    <row r="232" spans="78:122" x14ac:dyDescent="0.5">
      <c r="CR232"/>
      <c r="CS232"/>
      <c r="DA232" s="6" cm="1">
        <f t="array" ref="DA232:DF234">CL228:CQ230</f>
        <v>6.2608114290796379</v>
      </c>
      <c r="DB232" s="6">
        <v>5.6778733192500983</v>
      </c>
      <c r="DC232" s="6">
        <v>6.0902831535225843</v>
      </c>
      <c r="DD232" s="6">
        <v>4.529913123442066</v>
      </c>
      <c r="DE232" s="6">
        <v>5.9522010453080121</v>
      </c>
      <c r="DF232" s="6">
        <v>4.9063237253703953</v>
      </c>
      <c r="DG232"/>
      <c r="DH232"/>
      <c r="DJ232" s="2" t="s">
        <v>28</v>
      </c>
      <c r="DK232" s="29" cm="1">
        <f t="array" ref="DK232:DR234">MMULT(_xlfn.ANCHORARRAY(DA232),DK222:DR227)</f>
        <v>5.0948594244291092</v>
      </c>
      <c r="DL232" s="29">
        <v>5.6778644199732948</v>
      </c>
      <c r="DM232" s="29">
        <v>5.5747224219669427</v>
      </c>
      <c r="DN232" s="29">
        <v>5.6062090106844797</v>
      </c>
      <c r="DO232" s="29">
        <v>5.6773307059375329</v>
      </c>
      <c r="DP232" s="29">
        <v>5.6777637440365858</v>
      </c>
      <c r="DQ232" s="29">
        <v>5.5546814712472363</v>
      </c>
      <c r="DR232" s="29">
        <v>5.5272480269082731</v>
      </c>
    </row>
    <row r="233" spans="78:122" x14ac:dyDescent="0.5">
      <c r="CR233"/>
      <c r="CS233"/>
      <c r="DA233" s="7">
        <v>3.3995200575706157</v>
      </c>
      <c r="DB233" s="7">
        <v>4.1711358908825291</v>
      </c>
      <c r="DC233" s="7">
        <v>2.7757024025038501</v>
      </c>
      <c r="DD233" s="7">
        <v>4.8911239708429832</v>
      </c>
      <c r="DE233" s="7">
        <v>2.9305083496931279</v>
      </c>
      <c r="DF233" s="7">
        <v>4.8233362939216908</v>
      </c>
      <c r="DG233"/>
      <c r="DH233"/>
      <c r="DJ233" s="2" t="s">
        <v>28</v>
      </c>
      <c r="DK233" s="30">
        <v>4.5814542171789281</v>
      </c>
      <c r="DL233" s="30">
        <v>4.1711423048359553</v>
      </c>
      <c r="DM233" s="30">
        <v>4.2437059190463717</v>
      </c>
      <c r="DN233" s="30">
        <v>4.2216568079050623</v>
      </c>
      <c r="DO233" s="30">
        <v>4.1715198034653547</v>
      </c>
      <c r="DP233" s="30">
        <v>4.1712139704120252</v>
      </c>
      <c r="DQ233" s="30">
        <v>4.2580647471427655</v>
      </c>
      <c r="DR233" s="30">
        <v>4.2775018992456033</v>
      </c>
    </row>
    <row r="234" spans="78:122" x14ac:dyDescent="0.5">
      <c r="DA234" s="8">
        <v>5.388499824624696</v>
      </c>
      <c r="DB234" s="8">
        <v>5.7458374810387971</v>
      </c>
      <c r="DC234" s="8">
        <v>4.738445191877652</v>
      </c>
      <c r="DD234" s="8">
        <v>6.948045163488203</v>
      </c>
      <c r="DE234" s="8">
        <v>4.9816605881619269</v>
      </c>
      <c r="DF234" s="8">
        <v>6.7666213128549844</v>
      </c>
      <c r="DG234"/>
      <c r="DH234"/>
      <c r="DJ234" s="2" t="s">
        <v>28</v>
      </c>
      <c r="DK234" s="31">
        <v>6.4129163512072962</v>
      </c>
      <c r="DL234" s="31">
        <v>5.7458478532972146</v>
      </c>
      <c r="DM234" s="31">
        <v>5.8638192653615411</v>
      </c>
      <c r="DN234" s="31">
        <v>5.8279354033064887</v>
      </c>
      <c r="DO234" s="31">
        <v>5.7464608488923901</v>
      </c>
      <c r="DP234" s="31">
        <v>5.7459640620924448</v>
      </c>
      <c r="DQ234" s="31">
        <v>5.887069655803284</v>
      </c>
      <c r="DR234" s="31">
        <v>5.918620556723944</v>
      </c>
    </row>
    <row r="235" spans="78:122" x14ac:dyDescent="0.5">
      <c r="DG235"/>
      <c r="DH235"/>
    </row>
    <row r="236" spans="78:122" x14ac:dyDescent="0.5">
      <c r="DG236"/>
      <c r="DH236"/>
    </row>
    <row r="237" spans="78:122" x14ac:dyDescent="0.5">
      <c r="DG237"/>
      <c r="DH237"/>
      <c r="DK237" s="29" cm="1">
        <f t="array" ref="DK237:DR239">_xlfn.ANCHORARRAY(DK207)</f>
        <v>3.4676674149678912</v>
      </c>
      <c r="DL237" s="29">
        <v>3.5446278638398478</v>
      </c>
      <c r="DM237" s="29">
        <v>3.5440025902720333</v>
      </c>
      <c r="DN237" s="29">
        <v>3.5441856579997526</v>
      </c>
      <c r="DO237" s="29">
        <v>3.5445768634397909</v>
      </c>
      <c r="DP237" s="29">
        <v>3.544633769000451</v>
      </c>
      <c r="DQ237" s="29">
        <v>3.5437949504360566</v>
      </c>
      <c r="DR237" s="29">
        <v>3.543683974020623</v>
      </c>
    </row>
    <row r="238" spans="78:122" x14ac:dyDescent="0.5">
      <c r="DG238"/>
      <c r="DH238"/>
      <c r="DK238" s="30">
        <v>5.1261938072870503</v>
      </c>
      <c r="DL238" s="30">
        <v>5.1695736601025075</v>
      </c>
      <c r="DM238" s="30">
        <v>5.1699718131809282</v>
      </c>
      <c r="DN238" s="30">
        <v>5.1699029885868519</v>
      </c>
      <c r="DO238" s="30">
        <v>5.1696119627699302</v>
      </c>
      <c r="DP238" s="30">
        <v>5.1695689490489292</v>
      </c>
      <c r="DQ238" s="30">
        <v>5.1699743588323308</v>
      </c>
      <c r="DR238" s="30">
        <v>5.1699130834735101</v>
      </c>
    </row>
    <row r="239" spans="78:122" x14ac:dyDescent="0.5">
      <c r="DK239" s="31">
        <v>2.8134648273826057</v>
      </c>
      <c r="DL239" s="31">
        <v>2.7095140229740693</v>
      </c>
      <c r="DM239" s="31">
        <v>2.709808922545649</v>
      </c>
      <c r="DN239" s="31">
        <v>2.7096851271168636</v>
      </c>
      <c r="DO239" s="31">
        <v>2.7095334408562017</v>
      </c>
      <c r="DP239" s="31">
        <v>2.7095118985158591</v>
      </c>
      <c r="DQ239" s="31">
        <v>2.7100057862712172</v>
      </c>
      <c r="DR239" s="31">
        <v>2.7101574267643849</v>
      </c>
    </row>
    <row r="240" spans="78:122" x14ac:dyDescent="0.5">
      <c r="DK240" s="29" cm="1">
        <f t="array" ref="DK240:DR242">_xlfn.ANCHORARRAY(DK232)</f>
        <v>5.0948594244291092</v>
      </c>
      <c r="DL240" s="29">
        <v>5.6778644199732948</v>
      </c>
      <c r="DM240" s="29">
        <v>5.5747224219669427</v>
      </c>
      <c r="DN240" s="29">
        <v>5.6062090106844797</v>
      </c>
      <c r="DO240" s="29">
        <v>5.6773307059375329</v>
      </c>
      <c r="DP240" s="29">
        <v>5.6777637440365858</v>
      </c>
      <c r="DQ240" s="29">
        <v>5.5546814712472363</v>
      </c>
      <c r="DR240" s="29">
        <v>5.5272480269082731</v>
      </c>
    </row>
    <row r="241" spans="80:134" x14ac:dyDescent="0.5">
      <c r="DK241" s="30">
        <v>4.5814542171789281</v>
      </c>
      <c r="DL241" s="30">
        <v>4.1711423048359553</v>
      </c>
      <c r="DM241" s="30">
        <v>4.2437059190463717</v>
      </c>
      <c r="DN241" s="30">
        <v>4.2216568079050623</v>
      </c>
      <c r="DO241" s="30">
        <v>4.1715198034653547</v>
      </c>
      <c r="DP241" s="30">
        <v>4.1712139704120252</v>
      </c>
      <c r="DQ241" s="30">
        <v>4.2580647471427655</v>
      </c>
      <c r="DR241" s="30">
        <v>4.2775018992456033</v>
      </c>
    </row>
    <row r="242" spans="80:134" x14ac:dyDescent="0.5">
      <c r="DK242" s="31">
        <v>6.4129163512072962</v>
      </c>
      <c r="DL242" s="31">
        <v>5.7458478532972146</v>
      </c>
      <c r="DM242" s="31">
        <v>5.8638192653615411</v>
      </c>
      <c r="DN242" s="31">
        <v>5.8279354033064887</v>
      </c>
      <c r="DO242" s="31">
        <v>5.7464608488923901</v>
      </c>
      <c r="DP242" s="31">
        <v>5.7459640620924448</v>
      </c>
      <c r="DQ242" s="31">
        <v>5.887069655803284</v>
      </c>
      <c r="DR242" s="31">
        <v>5.918620556723944</v>
      </c>
    </row>
    <row r="243" spans="80:134" x14ac:dyDescent="0.5">
      <c r="CB243" s="89" t="s">
        <v>40</v>
      </c>
      <c r="DK243" s="2" t="s">
        <v>27</v>
      </c>
      <c r="DL243" s="2" t="s">
        <v>27</v>
      </c>
      <c r="DM243" s="2" t="s">
        <v>27</v>
      </c>
      <c r="DN243" s="2" t="s">
        <v>27</v>
      </c>
      <c r="DO243" s="2" t="s">
        <v>27</v>
      </c>
      <c r="DP243" s="2" t="s">
        <v>27</v>
      </c>
      <c r="DQ243" s="2" t="s">
        <v>27</v>
      </c>
      <c r="DR243" s="2" t="s">
        <v>27</v>
      </c>
    </row>
    <row r="244" spans="80:134" x14ac:dyDescent="0.5">
      <c r="CB244" s="16">
        <v>0</v>
      </c>
      <c r="CC244" s="17">
        <v>0</v>
      </c>
      <c r="CD244" s="17">
        <v>1</v>
      </c>
      <c r="CE244" s="17">
        <v>1</v>
      </c>
      <c r="CF244" s="17">
        <v>0</v>
      </c>
      <c r="CG244" s="18">
        <v>-1</v>
      </c>
      <c r="CH244" s="2" t="s">
        <v>28</v>
      </c>
      <c r="DK244" s="6" cm="1">
        <f t="array" ref="DK244:DR249">MMULT(CB244:CG249,DK237:DR242)</f>
        <v>1.4954079006044187</v>
      </c>
      <c r="DL244" s="6">
        <v>2.6415305896501495</v>
      </c>
      <c r="DM244" s="6">
        <v>2.420712079151051</v>
      </c>
      <c r="DN244" s="6">
        <v>2.4879587344948551</v>
      </c>
      <c r="DO244" s="6">
        <v>2.6404032979013436</v>
      </c>
      <c r="DP244" s="6">
        <v>2.6413115804600009</v>
      </c>
      <c r="DQ244" s="6">
        <v>2.3776176017151691</v>
      </c>
      <c r="DR244" s="6">
        <v>2.3187848969487135</v>
      </c>
    </row>
    <row r="245" spans="80:134" x14ac:dyDescent="0.5">
      <c r="CB245" s="19">
        <v>0</v>
      </c>
      <c r="CC245" s="20">
        <v>1</v>
      </c>
      <c r="CD245" s="20">
        <v>1</v>
      </c>
      <c r="CE245" s="20">
        <v>0</v>
      </c>
      <c r="CF245" s="20">
        <v>1</v>
      </c>
      <c r="CG245" s="21">
        <v>0</v>
      </c>
      <c r="CH245" s="2" t="s">
        <v>28</v>
      </c>
      <c r="DK245" s="7">
        <v>12.521112851848585</v>
      </c>
      <c r="DL245" s="7">
        <v>12.050229987912532</v>
      </c>
      <c r="DM245" s="7">
        <v>12.123486654772949</v>
      </c>
      <c r="DN245" s="7">
        <v>12.101244923608778</v>
      </c>
      <c r="DO245" s="7">
        <v>12.050665207091487</v>
      </c>
      <c r="DP245" s="7">
        <v>12.050294817976813</v>
      </c>
      <c r="DQ245" s="7">
        <v>12.138044892246313</v>
      </c>
      <c r="DR245" s="7">
        <v>12.157572409483498</v>
      </c>
    </row>
    <row r="246" spans="80:134" x14ac:dyDescent="0.5">
      <c r="CB246" s="19">
        <v>0</v>
      </c>
      <c r="CC246" s="20">
        <v>1</v>
      </c>
      <c r="CD246" s="20">
        <v>0</v>
      </c>
      <c r="CE246" s="20">
        <v>0</v>
      </c>
      <c r="CF246" s="20">
        <v>1</v>
      </c>
      <c r="CG246" s="21">
        <v>1</v>
      </c>
      <c r="CH246" s="2" t="s">
        <v>28</v>
      </c>
      <c r="DK246" s="7">
        <v>16.120564375673275</v>
      </c>
      <c r="DL246" s="7">
        <v>15.086563818235678</v>
      </c>
      <c r="DM246" s="7">
        <v>15.277496997588841</v>
      </c>
      <c r="DN246" s="7">
        <v>15.219495199798404</v>
      </c>
      <c r="DO246" s="7">
        <v>15.087592615127676</v>
      </c>
      <c r="DP246" s="7">
        <v>15.0867469815534</v>
      </c>
      <c r="DQ246" s="7">
        <v>15.315108761778379</v>
      </c>
      <c r="DR246" s="7">
        <v>15.366035539443057</v>
      </c>
    </row>
    <row r="247" spans="80:134" x14ac:dyDescent="0.5">
      <c r="CB247" s="19">
        <v>-1</v>
      </c>
      <c r="CC247" s="20">
        <v>0</v>
      </c>
      <c r="CD247" s="20">
        <v>0</v>
      </c>
      <c r="CE247" s="20">
        <v>1</v>
      </c>
      <c r="CF247" s="20">
        <v>0</v>
      </c>
      <c r="CG247" s="21">
        <v>1</v>
      </c>
      <c r="CH247" s="2" t="s">
        <v>28</v>
      </c>
      <c r="DK247" s="7">
        <v>8.0401083606685138</v>
      </c>
      <c r="DL247" s="7">
        <v>7.8790844094306616</v>
      </c>
      <c r="DM247" s="7">
        <v>7.89453909705645</v>
      </c>
      <c r="DN247" s="7">
        <v>7.8899587559912163</v>
      </c>
      <c r="DO247" s="7">
        <v>7.879214691390132</v>
      </c>
      <c r="DP247" s="7">
        <v>7.8790940371285796</v>
      </c>
      <c r="DQ247" s="7">
        <v>7.8979561766144641</v>
      </c>
      <c r="DR247" s="7">
        <v>7.9021846096115942</v>
      </c>
    </row>
    <row r="248" spans="80:134" x14ac:dyDescent="0.5">
      <c r="CB248" s="19">
        <v>1</v>
      </c>
      <c r="CC248" s="20">
        <v>0</v>
      </c>
      <c r="CD248" s="20">
        <v>0</v>
      </c>
      <c r="CE248" s="20">
        <v>-1</v>
      </c>
      <c r="CF248" s="20">
        <v>0</v>
      </c>
      <c r="CG248" s="21">
        <v>1</v>
      </c>
      <c r="CH248" s="2" t="s">
        <v>28</v>
      </c>
      <c r="DK248" s="7">
        <v>4.7857243417460786</v>
      </c>
      <c r="DL248" s="7">
        <v>3.6126112971637676</v>
      </c>
      <c r="DM248" s="7">
        <v>3.8330994336666318</v>
      </c>
      <c r="DN248" s="7">
        <v>3.7659120506217616</v>
      </c>
      <c r="DO248" s="7">
        <v>3.6137070063946481</v>
      </c>
      <c r="DP248" s="7">
        <v>3.61283408705631</v>
      </c>
      <c r="DQ248" s="7">
        <v>3.8761831349921043</v>
      </c>
      <c r="DR248" s="7">
        <v>3.9350565038362939</v>
      </c>
    </row>
    <row r="249" spans="80:134" x14ac:dyDescent="0.5">
      <c r="CB249" s="22">
        <v>1</v>
      </c>
      <c r="CC249" s="23">
        <v>0</v>
      </c>
      <c r="CD249" s="23">
        <v>-1</v>
      </c>
      <c r="CE249" s="23">
        <v>0</v>
      </c>
      <c r="CF249" s="23">
        <v>1</v>
      </c>
      <c r="CG249" s="24">
        <v>0</v>
      </c>
      <c r="CH249" s="2" t="s">
        <v>28</v>
      </c>
      <c r="DK249" s="8">
        <v>5.2356568047642131</v>
      </c>
      <c r="DL249" s="8">
        <v>5.0062561457017338</v>
      </c>
      <c r="DM249" s="8">
        <v>5.0778995867727561</v>
      </c>
      <c r="DN249" s="8">
        <v>5.0561573387879513</v>
      </c>
      <c r="DO249" s="8">
        <v>5.0065632260489439</v>
      </c>
      <c r="DP249" s="8">
        <v>5.0063358408966172</v>
      </c>
      <c r="DQ249" s="8">
        <v>5.0918539113076049</v>
      </c>
      <c r="DR249" s="8">
        <v>5.111028446501841</v>
      </c>
    </row>
    <row r="250" spans="80:134" x14ac:dyDescent="0.5">
      <c r="DI250"/>
      <c r="DJ250"/>
      <c r="DK250"/>
      <c r="DL250"/>
      <c r="DM250"/>
      <c r="DN250"/>
      <c r="DO250"/>
      <c r="DP250"/>
      <c r="DT250"/>
      <c r="DU250"/>
      <c r="DV250"/>
      <c r="DW250"/>
      <c r="DX250"/>
      <c r="DY250"/>
      <c r="DZ250"/>
      <c r="EA250"/>
      <c r="EB250"/>
      <c r="EC250"/>
      <c r="ED250"/>
    </row>
    <row r="251" spans="80:134" x14ac:dyDescent="0.5">
      <c r="DI251"/>
      <c r="DJ251"/>
      <c r="DK251"/>
      <c r="DL251"/>
      <c r="DM251"/>
      <c r="DN251"/>
      <c r="DO251"/>
      <c r="DP251"/>
      <c r="DT251"/>
      <c r="DU251"/>
      <c r="DV251"/>
      <c r="DW251"/>
      <c r="DX251"/>
      <c r="DY251"/>
      <c r="DZ251"/>
      <c r="EA251"/>
      <c r="EB251"/>
      <c r="EC251"/>
      <c r="ED251"/>
    </row>
    <row r="252" spans="80:134" x14ac:dyDescent="0.5">
      <c r="DI252"/>
      <c r="DJ252"/>
      <c r="DK252"/>
      <c r="DL252"/>
      <c r="DM252"/>
      <c r="DN252"/>
      <c r="DO252"/>
      <c r="DP252"/>
      <c r="DT252"/>
      <c r="DU252"/>
      <c r="DV252"/>
      <c r="DW252"/>
      <c r="DX252"/>
      <c r="DY252"/>
      <c r="DZ252"/>
      <c r="EA252"/>
      <c r="EB252"/>
      <c r="EC252"/>
      <c r="ED252"/>
    </row>
    <row r="253" spans="80:134" x14ac:dyDescent="0.5">
      <c r="DT253"/>
      <c r="DU253"/>
      <c r="DV253"/>
      <c r="DW253"/>
      <c r="DX253"/>
      <c r="DY253"/>
      <c r="DZ253"/>
      <c r="EA253"/>
      <c r="EB253"/>
      <c r="EC253"/>
      <c r="ED253"/>
    </row>
    <row r="254" spans="80:134" x14ac:dyDescent="0.5">
      <c r="DT254"/>
      <c r="DU254"/>
      <c r="DV254"/>
      <c r="DW254"/>
      <c r="DX254"/>
      <c r="DY254"/>
      <c r="DZ254"/>
      <c r="EA254"/>
      <c r="EB254"/>
      <c r="EC254"/>
      <c r="ED254"/>
    </row>
    <row r="255" spans="80:134" x14ac:dyDescent="0.5">
      <c r="DT255"/>
      <c r="DU255"/>
      <c r="DV255"/>
      <c r="DW255"/>
      <c r="DX255"/>
      <c r="DY255"/>
      <c r="DZ255"/>
      <c r="EA255"/>
      <c r="EB255"/>
      <c r="EC255"/>
      <c r="ED255"/>
    </row>
    <row r="256" spans="80:134" x14ac:dyDescent="0.5">
      <c r="DO256" s="2"/>
      <c r="DR256" s="2"/>
      <c r="DT256"/>
      <c r="DU256"/>
      <c r="DV256"/>
      <c r="DW256"/>
      <c r="DX256"/>
      <c r="DY256"/>
      <c r="DZ256"/>
      <c r="EA256"/>
      <c r="EB256"/>
      <c r="EC256"/>
      <c r="ED256"/>
    </row>
    <row r="257" spans="79:134" x14ac:dyDescent="0.5">
      <c r="DO257" s="15"/>
      <c r="DR257" s="2"/>
      <c r="DT257"/>
      <c r="DU257"/>
      <c r="DV257"/>
      <c r="DW257"/>
      <c r="DX257"/>
      <c r="DY257"/>
      <c r="DZ257"/>
      <c r="EA257"/>
      <c r="EB257"/>
      <c r="EC257"/>
      <c r="ED257"/>
    </row>
    <row r="258" spans="79:134" x14ac:dyDescent="0.5">
      <c r="CL258" s="6" cm="1">
        <f t="array" ref="CL258:CS263">_xlfn.ANCHORARRAY(DK244)+_xlfn.ANCHORARRAY(CL177)</f>
        <v>4.0050758023830273</v>
      </c>
      <c r="CM258" s="6">
        <v>3.1338187466594882</v>
      </c>
      <c r="CN258" s="6">
        <v>4.3843629050885236</v>
      </c>
      <c r="CO258" s="6">
        <v>4.3480544072153027</v>
      </c>
      <c r="CP258" s="6">
        <v>3.7627894642333231</v>
      </c>
      <c r="CQ258" s="6">
        <v>3.5316685778020132</v>
      </c>
      <c r="CR258" s="6">
        <v>4.3145903473118752</v>
      </c>
      <c r="CS258" s="6">
        <v>4.3124392296619929</v>
      </c>
      <c r="DO258" s="2"/>
      <c r="DR258" s="2"/>
      <c r="DT258"/>
      <c r="DU258"/>
      <c r="DV258"/>
      <c r="DW258"/>
      <c r="DX258"/>
      <c r="DY258"/>
      <c r="DZ258"/>
      <c r="EA258"/>
      <c r="EB258"/>
      <c r="EC258"/>
      <c r="ED258"/>
    </row>
    <row r="259" spans="79:134" x14ac:dyDescent="0.5">
      <c r="CL259" s="7">
        <v>17.763043852075537</v>
      </c>
      <c r="CM259" s="7">
        <v>15.919107092506461</v>
      </c>
      <c r="CN259" s="7">
        <v>17.061925853310356</v>
      </c>
      <c r="CO259" s="7">
        <v>16.780846938929503</v>
      </c>
      <c r="CP259" s="7">
        <v>16.572289510425144</v>
      </c>
      <c r="CQ259" s="7">
        <v>16.162601577916547</v>
      </c>
      <c r="CR259" s="7">
        <v>17.43429856489875</v>
      </c>
      <c r="CS259" s="7">
        <v>17.470412803090305</v>
      </c>
      <c r="DR259" s="2"/>
      <c r="DT259"/>
      <c r="DU259"/>
      <c r="DV259"/>
      <c r="DW259"/>
      <c r="DX259"/>
      <c r="DY259"/>
      <c r="DZ259"/>
      <c r="EA259"/>
      <c r="EB259"/>
      <c r="EC259"/>
      <c r="ED259"/>
    </row>
    <row r="260" spans="79:134" x14ac:dyDescent="0.5">
      <c r="CL260" s="7">
        <v>11.109290525495386</v>
      </c>
      <c r="CM260" s="7">
        <v>12.314349740648192</v>
      </c>
      <c r="CN260" s="7">
        <v>10.002430333812864</v>
      </c>
      <c r="CO260" s="7">
        <v>10.271515894931868</v>
      </c>
      <c r="CP260" s="7">
        <v>9.976439263142467</v>
      </c>
      <c r="CQ260" s="7">
        <v>10.872548763836168</v>
      </c>
      <c r="CR260" s="7">
        <v>10.612024600477206</v>
      </c>
      <c r="CS260" s="7">
        <v>10.795507184653388</v>
      </c>
      <c r="DA260" s="4"/>
      <c r="DT260"/>
      <c r="DU260"/>
      <c r="DV260"/>
      <c r="DW260"/>
      <c r="DX260"/>
      <c r="DY260"/>
      <c r="DZ260"/>
      <c r="EA260"/>
      <c r="EB260"/>
      <c r="EC260"/>
      <c r="ED260"/>
    </row>
    <row r="261" spans="79:134" x14ac:dyDescent="0.5">
      <c r="CL261" s="7">
        <v>9.0942990089711895</v>
      </c>
      <c r="CM261" s="7">
        <v>11.718247276558607</v>
      </c>
      <c r="CN261" s="7">
        <v>10.599712290560944</v>
      </c>
      <c r="CO261" s="7">
        <v>12.012795616354843</v>
      </c>
      <c r="CP261" s="7">
        <v>11.129679939080834</v>
      </c>
      <c r="CQ261" s="7">
        <v>11.247599612038034</v>
      </c>
      <c r="CR261" s="7">
        <v>9.2902638292033206</v>
      </c>
      <c r="CS261" s="7">
        <v>8.8180815549827081</v>
      </c>
      <c r="DT261"/>
      <c r="DU261"/>
      <c r="DV261"/>
      <c r="DW261"/>
      <c r="DX261"/>
      <c r="DY261"/>
      <c r="DZ261"/>
      <c r="EA261"/>
      <c r="EB261"/>
      <c r="EC261"/>
      <c r="ED261"/>
    </row>
    <row r="262" spans="79:134" x14ac:dyDescent="0.5">
      <c r="CL262" s="7">
        <v>4.1739235262224321</v>
      </c>
      <c r="CM262" s="7">
        <v>7.1581304411287752</v>
      </c>
      <c r="CN262" s="7">
        <v>3.7254500034152156</v>
      </c>
      <c r="CO262" s="7">
        <v>3.2546150999241861</v>
      </c>
      <c r="CP262" s="7">
        <v>6.193493834234852</v>
      </c>
      <c r="CQ262" s="7">
        <v>6.4361750808787219</v>
      </c>
      <c r="CR262" s="7">
        <v>3.621877147413008</v>
      </c>
      <c r="CS262" s="7">
        <v>3.6124483211134857</v>
      </c>
      <c r="DT262"/>
      <c r="DU262"/>
      <c r="DV262"/>
      <c r="DW262"/>
      <c r="DX262"/>
      <c r="DY262"/>
      <c r="DZ262"/>
      <c r="EA262"/>
      <c r="EB262"/>
      <c r="EC262"/>
      <c r="ED262"/>
    </row>
    <row r="263" spans="79:134" x14ac:dyDescent="0.5">
      <c r="CL263" s="8">
        <v>11.057142479128032</v>
      </c>
      <c r="CM263" s="8">
        <v>13.566828399070374</v>
      </c>
      <c r="CN263" s="8">
        <v>12.436769384771614</v>
      </c>
      <c r="CO263" s="8">
        <v>12.257932395975413</v>
      </c>
      <c r="CP263" s="8">
        <v>13.504314543545462</v>
      </c>
      <c r="CQ263" s="8">
        <v>14.143849909296282</v>
      </c>
      <c r="CR263" s="8">
        <v>12.470786035204464</v>
      </c>
      <c r="CS263" s="8">
        <v>12.561179525437913</v>
      </c>
      <c r="DT263"/>
      <c r="DU263"/>
      <c r="DV263"/>
      <c r="DW263"/>
      <c r="DX263"/>
      <c r="DY263"/>
      <c r="DZ263"/>
      <c r="EA263"/>
      <c r="EB263"/>
      <c r="EC263"/>
      <c r="ED263"/>
    </row>
    <row r="264" spans="79:134" x14ac:dyDescent="0.5">
      <c r="DT264"/>
      <c r="DU264"/>
      <c r="DV264"/>
      <c r="DW264"/>
      <c r="DX264"/>
      <c r="DY264"/>
      <c r="DZ264"/>
      <c r="EA264"/>
      <c r="EB264"/>
      <c r="EC264"/>
      <c r="ED264"/>
    </row>
    <row r="265" spans="79:134" x14ac:dyDescent="0.5">
      <c r="CK265" s="3" t="s">
        <v>1</v>
      </c>
      <c r="DT265"/>
      <c r="DU265"/>
      <c r="DV265"/>
      <c r="DW265"/>
      <c r="DX265"/>
      <c r="DY265"/>
      <c r="DZ265"/>
      <c r="EA265"/>
      <c r="EB265"/>
      <c r="EC265"/>
      <c r="ED265"/>
    </row>
    <row r="266" spans="79:134" x14ac:dyDescent="0.5">
      <c r="CL266" s="6" cm="1">
        <f t="array" ref="CL266:CL271">NORMALIZE(CL258:CL263)</f>
        <v>-1.0757697559027266</v>
      </c>
      <c r="CM266" s="6" cm="1">
        <f t="array" ref="CM266:CM271">NORMALIZE(CM258:CM263)</f>
        <v>-1.6072274688081962</v>
      </c>
      <c r="CN266" s="6" cm="1">
        <f t="array" ref="CN266:CN271">NORMALIZE(CN258:CN263)</f>
        <v>-1.056781111047477</v>
      </c>
      <c r="CO266" s="6" cm="1">
        <f t="array" ref="CO266:CO271">NORMALIZE(CO258:CO263)</f>
        <v>-1.06312285370931</v>
      </c>
      <c r="CP266" s="6" cm="1">
        <f t="array" ref="CP266:CP271">NORMALIZE(CP258:CP263)</f>
        <v>-1.3704069665080947</v>
      </c>
      <c r="CQ266" s="6" cm="1">
        <f t="array" ref="CQ266:CQ271">NORMALIZE(CQ258:CQ263)</f>
        <v>-1.456877846653682</v>
      </c>
      <c r="CR266" s="6" cm="1">
        <f t="array" ref="CR266:CR271">NORMALIZE(CR258:CR263)</f>
        <v>-1.0238421671687319</v>
      </c>
      <c r="CS266" s="6" cm="1">
        <f t="array" ref="CS266:CS271">NORMALIZE(CS258:CS263)</f>
        <v>-1.0106089682056629</v>
      </c>
      <c r="DT266"/>
      <c r="DU266"/>
      <c r="DV266"/>
      <c r="DW266"/>
      <c r="DX266"/>
      <c r="DY266"/>
      <c r="DZ266"/>
      <c r="EA266"/>
      <c r="EB266"/>
      <c r="EC266"/>
      <c r="ED266"/>
    </row>
    <row r="267" spans="79:134" x14ac:dyDescent="0.5">
      <c r="CL267" s="7">
        <v>1.6012342813792659</v>
      </c>
      <c r="CM267" s="7">
        <v>1.1321606364031493</v>
      </c>
      <c r="CN267" s="7">
        <v>1.4627544252096416</v>
      </c>
      <c r="CO267" s="7">
        <v>1.3519719272231594</v>
      </c>
      <c r="CP267" s="7">
        <v>1.3608992878938884</v>
      </c>
      <c r="CQ267" s="7">
        <v>1.2226969785822266</v>
      </c>
      <c r="CR267" s="7">
        <v>1.506114761596181</v>
      </c>
      <c r="CS267" s="7">
        <v>1.5066431536928382</v>
      </c>
      <c r="DC267" s="2"/>
      <c r="DD267" s="2"/>
      <c r="DE267" s="2"/>
      <c r="DF267" s="2"/>
      <c r="DG267" s="2"/>
      <c r="DH267" s="2"/>
      <c r="DI267" s="2"/>
      <c r="DJ267" s="2"/>
    </row>
    <row r="268" spans="79:134" x14ac:dyDescent="0.5">
      <c r="CL268" s="7">
        <v>0.30655730190106056</v>
      </c>
      <c r="CM268" s="7">
        <v>0.35980187962459614</v>
      </c>
      <c r="CN268" s="7">
        <v>5.97521366730571E-2</v>
      </c>
      <c r="CO268" s="7">
        <v>8.7521371033200221E-2</v>
      </c>
      <c r="CP268" s="7">
        <v>-4.550119366572318E-2</v>
      </c>
      <c r="CQ268" s="7">
        <v>0.10044477879226477</v>
      </c>
      <c r="CR268" s="7">
        <v>0.19053220442591012</v>
      </c>
      <c r="CS268" s="7">
        <v>0.22966685960649263</v>
      </c>
      <c r="DC268" s="2"/>
      <c r="DD268" s="2"/>
      <c r="DE268" s="2"/>
      <c r="DI268" s="2"/>
      <c r="DJ268" s="2"/>
    </row>
    <row r="269" spans="79:134" x14ac:dyDescent="0.5">
      <c r="CL269" s="7">
        <v>-8.5516615216721728E-2</v>
      </c>
      <c r="CM269" s="7">
        <v>0.23208039572512568</v>
      </c>
      <c r="CN269" s="7">
        <v>0.17845579614911208</v>
      </c>
      <c r="CO269" s="7">
        <v>0.42576843472584502</v>
      </c>
      <c r="CP269" s="7">
        <v>0.20039860411425831</v>
      </c>
      <c r="CQ269" s="7">
        <v>0.18000951173922772</v>
      </c>
      <c r="CR269" s="7">
        <v>-6.4351346792966488E-2</v>
      </c>
      <c r="CS269" s="7">
        <v>-0.14863446729669436</v>
      </c>
      <c r="DC269" s="2"/>
      <c r="DD269" s="2"/>
      <c r="DE269" s="2"/>
      <c r="DF269" s="2"/>
      <c r="DG269" s="2"/>
      <c r="DH269" s="2"/>
      <c r="DI269" s="2"/>
      <c r="DJ269" s="2"/>
    </row>
    <row r="270" spans="79:134" x14ac:dyDescent="0.5">
      <c r="CL270" s="7">
        <v>-1.0429156282603773</v>
      </c>
      <c r="CM270" s="7">
        <v>-0.74497459743881178</v>
      </c>
      <c r="CN270" s="7">
        <v>-1.1877332883582628</v>
      </c>
      <c r="CO270" s="7">
        <v>-1.2755256230444381</v>
      </c>
      <c r="CP270" s="7">
        <v>-0.85211991202144155</v>
      </c>
      <c r="CQ270" s="7">
        <v>-0.84070463875939894</v>
      </c>
      <c r="CR270" s="7">
        <v>-1.1574224671773703</v>
      </c>
      <c r="CS270" s="7">
        <v>-1.1445242394303858</v>
      </c>
      <c r="DC270" s="32"/>
      <c r="DD270" s="32"/>
      <c r="DE270" s="32"/>
      <c r="DF270" s="32"/>
      <c r="DG270" s="32"/>
      <c r="DH270" s="32"/>
      <c r="DI270" s="32"/>
      <c r="DJ270" s="32"/>
    </row>
    <row r="271" spans="79:134" x14ac:dyDescent="0.5">
      <c r="CL271" s="8">
        <v>0.2964104160994982</v>
      </c>
      <c r="CM271" s="8">
        <v>0.62815915449413673</v>
      </c>
      <c r="CN271" s="8">
        <v>0.54355204137392676</v>
      </c>
      <c r="CO271" s="8">
        <v>0.47338674377154444</v>
      </c>
      <c r="CP271" s="8">
        <v>0.70673018018711364</v>
      </c>
      <c r="CQ271" s="8">
        <v>0.79443121629936175</v>
      </c>
      <c r="CR271" s="8">
        <v>0.54896901511697815</v>
      </c>
      <c r="CS271" s="8">
        <v>0.56745766163341027</v>
      </c>
    </row>
    <row r="272" spans="79:134" x14ac:dyDescent="0.5">
      <c r="CA272" s="25" t="s">
        <v>41</v>
      </c>
      <c r="CB272" s="2"/>
      <c r="CC272" s="2"/>
      <c r="CD272" s="2"/>
      <c r="CE272" s="2"/>
      <c r="CF272" s="2"/>
      <c r="CG272" s="2"/>
      <c r="CL272" s="2">
        <v>1</v>
      </c>
      <c r="CM272" s="2">
        <v>1</v>
      </c>
      <c r="CN272" s="2">
        <v>1</v>
      </c>
      <c r="CO272" s="2">
        <v>1</v>
      </c>
      <c r="CP272" s="2">
        <v>1</v>
      </c>
      <c r="CQ272" s="2">
        <v>1</v>
      </c>
      <c r="CR272" s="2">
        <v>1</v>
      </c>
      <c r="CS272" s="2">
        <v>1</v>
      </c>
      <c r="DC272" s="2"/>
      <c r="DD272" s="2"/>
      <c r="DE272" s="2"/>
      <c r="DF272" s="2"/>
      <c r="DG272" s="2"/>
      <c r="DH272" s="2"/>
      <c r="DI272" s="2"/>
      <c r="DJ272" s="2"/>
    </row>
    <row r="273" spans="79:132" x14ac:dyDescent="0.5">
      <c r="CA273" s="3" t="s">
        <v>42</v>
      </c>
      <c r="CB273" s="2"/>
      <c r="CC273" s="2"/>
      <c r="CD273" s="2"/>
      <c r="CE273" s="2"/>
      <c r="CF273" s="2"/>
      <c r="CG273" s="3" t="s">
        <v>43</v>
      </c>
      <c r="CL273" s="2" t="s">
        <v>27</v>
      </c>
      <c r="CM273" s="2" t="s">
        <v>27</v>
      </c>
      <c r="CN273" s="2" t="s">
        <v>27</v>
      </c>
      <c r="CO273" s="2" t="s">
        <v>27</v>
      </c>
      <c r="CP273" s="2" t="s">
        <v>27</v>
      </c>
      <c r="CQ273" s="2" t="s">
        <v>27</v>
      </c>
      <c r="CR273" s="2" t="s">
        <v>27</v>
      </c>
      <c r="CS273" s="2" t="s">
        <v>27</v>
      </c>
      <c r="DC273" s="2"/>
      <c r="DD273" s="2"/>
      <c r="DE273" s="2"/>
      <c r="DF273" s="2"/>
      <c r="DG273" s="2"/>
      <c r="DH273" s="2"/>
      <c r="DI273" s="2"/>
      <c r="DJ273" s="2"/>
    </row>
    <row r="274" spans="79:132" x14ac:dyDescent="0.5">
      <c r="CA274" s="16">
        <v>1</v>
      </c>
      <c r="CB274" s="33">
        <v>0</v>
      </c>
      <c r="CC274" s="33">
        <v>0</v>
      </c>
      <c r="CD274" s="33">
        <v>0</v>
      </c>
      <c r="CE274" s="33">
        <v>0</v>
      </c>
      <c r="CF274" s="33">
        <v>0</v>
      </c>
      <c r="CG274" s="34">
        <v>2</v>
      </c>
      <c r="CH274" s="2" t="s">
        <v>28</v>
      </c>
      <c r="CK274" s="2"/>
      <c r="CL274" s="6" cm="1">
        <f t="array" ref="CL274:CS279">MMULT($CA274:$CG279,CL266:CS272)</f>
        <v>0.92423024409727339</v>
      </c>
      <c r="CM274" s="6">
        <v>0.39277253119180378</v>
      </c>
      <c r="CN274" s="6">
        <v>0.94321888895252304</v>
      </c>
      <c r="CO274" s="6">
        <v>0.93687714629068997</v>
      </c>
      <c r="CP274" s="6">
        <v>0.62959303349190532</v>
      </c>
      <c r="CQ274" s="6">
        <v>0.54312215334631797</v>
      </c>
      <c r="CR274" s="6">
        <v>0.97615783283126811</v>
      </c>
      <c r="CS274" s="6">
        <v>0.98939103179433707</v>
      </c>
    </row>
    <row r="275" spans="79:132" x14ac:dyDescent="0.5">
      <c r="CA275" s="38">
        <v>0</v>
      </c>
      <c r="CB275" s="20">
        <v>2</v>
      </c>
      <c r="CC275" s="2">
        <v>0</v>
      </c>
      <c r="CD275" s="2">
        <v>0</v>
      </c>
      <c r="CE275" s="2">
        <v>0</v>
      </c>
      <c r="CF275" s="2">
        <v>0</v>
      </c>
      <c r="CG275" s="39">
        <v>3</v>
      </c>
      <c r="CH275" s="2" t="s">
        <v>28</v>
      </c>
      <c r="CK275" s="2"/>
      <c r="CL275" s="7">
        <v>6.2024685627585319</v>
      </c>
      <c r="CM275" s="7">
        <v>5.2643212728062991</v>
      </c>
      <c r="CN275" s="7">
        <v>5.9255088504192832</v>
      </c>
      <c r="CO275" s="7">
        <v>5.7039438544463188</v>
      </c>
      <c r="CP275" s="7">
        <v>5.7217985757877763</v>
      </c>
      <c r="CQ275" s="7">
        <v>5.4453939571644536</v>
      </c>
      <c r="CR275" s="7">
        <v>6.0122295231923619</v>
      </c>
      <c r="CS275" s="7">
        <v>6.0132863073856768</v>
      </c>
    </row>
    <row r="276" spans="79:132" x14ac:dyDescent="0.5">
      <c r="CA276" s="38">
        <v>0</v>
      </c>
      <c r="CB276" s="2">
        <v>0</v>
      </c>
      <c r="CC276" s="20">
        <v>4</v>
      </c>
      <c r="CD276" s="2">
        <v>0</v>
      </c>
      <c r="CE276" s="2">
        <v>0</v>
      </c>
      <c r="CF276" s="2">
        <v>0</v>
      </c>
      <c r="CG276" s="39">
        <v>0</v>
      </c>
      <c r="CH276" s="2" t="s">
        <v>28</v>
      </c>
      <c r="CK276" s="2"/>
      <c r="CL276" s="7">
        <v>1.2262292076042423</v>
      </c>
      <c r="CM276" s="7">
        <v>1.4392075184983846</v>
      </c>
      <c r="CN276" s="7">
        <v>0.2390085466922284</v>
      </c>
      <c r="CO276" s="7">
        <v>0.35008548413280088</v>
      </c>
      <c r="CP276" s="7">
        <v>-0.18200477466289272</v>
      </c>
      <c r="CQ276" s="7">
        <v>0.40177911516905906</v>
      </c>
      <c r="CR276" s="7">
        <v>0.76212881770364049</v>
      </c>
      <c r="CS276" s="7">
        <v>0.91866743842597054</v>
      </c>
    </row>
    <row r="277" spans="79:132" x14ac:dyDescent="0.5">
      <c r="CA277" s="38">
        <v>0</v>
      </c>
      <c r="CB277" s="2">
        <v>0</v>
      </c>
      <c r="CC277" s="2">
        <v>0</v>
      </c>
      <c r="CD277" s="20">
        <v>5</v>
      </c>
      <c r="CE277" s="2">
        <v>0</v>
      </c>
      <c r="CF277" s="2">
        <v>0</v>
      </c>
      <c r="CG277" s="39">
        <v>1</v>
      </c>
      <c r="CH277" s="2" t="s">
        <v>28</v>
      </c>
      <c r="CK277" s="2"/>
      <c r="CL277" s="7">
        <v>0.57241692391639143</v>
      </c>
      <c r="CM277" s="7">
        <v>2.1604019786256283</v>
      </c>
      <c r="CN277" s="7">
        <v>1.8922789807455604</v>
      </c>
      <c r="CO277" s="7">
        <v>3.1288421736292253</v>
      </c>
      <c r="CP277" s="7">
        <v>2.0019930205712915</v>
      </c>
      <c r="CQ277" s="7">
        <v>1.9000475586961385</v>
      </c>
      <c r="CR277" s="7">
        <v>0.6782432660351676</v>
      </c>
      <c r="CS277" s="7">
        <v>0.25682766351652819</v>
      </c>
    </row>
    <row r="278" spans="79:132" x14ac:dyDescent="0.5">
      <c r="CA278" s="38">
        <v>0</v>
      </c>
      <c r="CB278" s="2">
        <v>0</v>
      </c>
      <c r="CC278" s="2">
        <v>0</v>
      </c>
      <c r="CD278" s="2">
        <v>0</v>
      </c>
      <c r="CE278" s="20">
        <v>4</v>
      </c>
      <c r="CF278" s="2">
        <v>0</v>
      </c>
      <c r="CG278" s="39">
        <v>4</v>
      </c>
      <c r="CH278" s="2" t="s">
        <v>28</v>
      </c>
      <c r="CK278" s="2"/>
      <c r="CL278" s="7">
        <v>-0.17166251304150926</v>
      </c>
      <c r="CM278" s="7">
        <v>1.0201016102447529</v>
      </c>
      <c r="CN278" s="7">
        <v>-0.750933153433051</v>
      </c>
      <c r="CO278" s="7">
        <v>-1.1021024921777522</v>
      </c>
      <c r="CP278" s="7">
        <v>0.5915203519142338</v>
      </c>
      <c r="CQ278" s="7">
        <v>0.63718144496240425</v>
      </c>
      <c r="CR278" s="7">
        <v>-0.62968986870948118</v>
      </c>
      <c r="CS278" s="7">
        <v>-0.57809695772154335</v>
      </c>
    </row>
    <row r="279" spans="79:132" x14ac:dyDescent="0.5">
      <c r="CA279" s="40">
        <v>0</v>
      </c>
      <c r="CB279" s="41">
        <v>0</v>
      </c>
      <c r="CC279" s="41">
        <v>0</v>
      </c>
      <c r="CD279" s="41">
        <v>0</v>
      </c>
      <c r="CE279" s="41">
        <v>0</v>
      </c>
      <c r="CF279" s="23">
        <v>5</v>
      </c>
      <c r="CG279" s="42">
        <v>2</v>
      </c>
      <c r="CH279" s="2" t="s">
        <v>28</v>
      </c>
      <c r="CK279" s="2"/>
      <c r="CL279" s="8">
        <v>3.4820520804974908</v>
      </c>
      <c r="CM279" s="8">
        <v>5.1407957724706836</v>
      </c>
      <c r="CN279" s="8">
        <v>4.7177602068696336</v>
      </c>
      <c r="CO279" s="8">
        <v>4.3669337188577222</v>
      </c>
      <c r="CP279" s="8">
        <v>5.5336509009355677</v>
      </c>
      <c r="CQ279" s="8">
        <v>5.9721560814968093</v>
      </c>
      <c r="CR279" s="8">
        <v>4.744845075584891</v>
      </c>
      <c r="CS279" s="8">
        <v>4.8372883081670519</v>
      </c>
    </row>
    <row r="280" spans="79:132" x14ac:dyDescent="0.5">
      <c r="CK280" s="2"/>
      <c r="CL280" s="2">
        <v>1</v>
      </c>
      <c r="CM280" s="2">
        <v>1</v>
      </c>
      <c r="CN280" s="2">
        <v>1</v>
      </c>
      <c r="CO280" s="2">
        <v>1</v>
      </c>
      <c r="CP280" s="2">
        <v>1</v>
      </c>
      <c r="CQ280" s="2">
        <v>1</v>
      </c>
      <c r="CR280" s="2">
        <v>1</v>
      </c>
      <c r="CS280" s="2">
        <v>1</v>
      </c>
    </row>
    <row r="281" spans="79:132" x14ac:dyDescent="0.5">
      <c r="CK281" s="2"/>
      <c r="CL281" s="2" t="s">
        <v>27</v>
      </c>
      <c r="CM281" s="2" t="s">
        <v>27</v>
      </c>
      <c r="CN281" s="2" t="s">
        <v>27</v>
      </c>
      <c r="CO281" s="2" t="s">
        <v>27</v>
      </c>
      <c r="CP281" s="2" t="s">
        <v>27</v>
      </c>
      <c r="CQ281" s="2" t="s">
        <v>27</v>
      </c>
      <c r="CR281" s="2" t="s">
        <v>27</v>
      </c>
      <c r="CS281" s="2" t="s">
        <v>27</v>
      </c>
    </row>
    <row r="283" spans="79:132" x14ac:dyDescent="0.5">
      <c r="DI283"/>
      <c r="DJ283"/>
      <c r="DK283"/>
      <c r="DL283"/>
      <c r="DM283"/>
      <c r="DN283"/>
      <c r="DO283"/>
      <c r="DP283"/>
    </row>
    <row r="284" spans="79:132" x14ac:dyDescent="0.5">
      <c r="DI284"/>
      <c r="DJ284"/>
      <c r="DK284"/>
      <c r="DL284"/>
      <c r="DM284"/>
      <c r="DN284"/>
      <c r="DO284"/>
      <c r="DP284"/>
    </row>
    <row r="285" spans="79:132" x14ac:dyDescent="0.5">
      <c r="DT285" s="2"/>
      <c r="DU285" s="2"/>
      <c r="DV285" s="2"/>
      <c r="DW285" s="2"/>
      <c r="DX285" s="2"/>
      <c r="DY285" s="2"/>
      <c r="DZ285" s="2"/>
      <c r="EA285" s="2"/>
      <c r="EB285" s="2"/>
    </row>
    <row r="286" spans="79:132" x14ac:dyDescent="0.5">
      <c r="CA286" s="25" t="s">
        <v>40</v>
      </c>
      <c r="CB286" s="2"/>
      <c r="CC286" s="2"/>
      <c r="CD286" s="2"/>
      <c r="CE286" s="2"/>
      <c r="CF286" s="2"/>
      <c r="CG286" s="2"/>
      <c r="CL286" s="2"/>
      <c r="CM286" s="2"/>
      <c r="CN286" s="2"/>
      <c r="CO286" s="2"/>
      <c r="CP286" s="2"/>
      <c r="CQ286" s="2"/>
      <c r="CR286" s="2"/>
      <c r="CS286" s="2"/>
      <c r="DT286" s="2"/>
      <c r="DU286" s="2"/>
      <c r="DV286" s="2"/>
      <c r="DW286" s="2"/>
      <c r="DX286" s="2"/>
      <c r="DY286" s="2"/>
      <c r="DZ286" s="2"/>
      <c r="EA286" s="2"/>
      <c r="EB286" s="2"/>
    </row>
    <row r="287" spans="79:132" x14ac:dyDescent="0.5">
      <c r="CA287" s="16">
        <v>-1</v>
      </c>
      <c r="CB287" s="17">
        <v>1</v>
      </c>
      <c r="CC287" s="17">
        <v>-1</v>
      </c>
      <c r="CD287" s="17">
        <v>1</v>
      </c>
      <c r="CE287" s="17">
        <v>1</v>
      </c>
      <c r="CF287" s="17">
        <v>-1</v>
      </c>
      <c r="CG287" s="34">
        <v>0</v>
      </c>
      <c r="CH287" s="2" t="s">
        <v>28</v>
      </c>
      <c r="CL287" s="6" cm="1">
        <f t="array" ref="CL287:CS298">MMULT($CA287:$CG298,CL274:CS280)</f>
        <v>0.97071144143440691</v>
      </c>
      <c r="CM287" s="6">
        <v>1.4720490395158077</v>
      </c>
      <c r="CN287" s="6">
        <v>1.1668670352174075</v>
      </c>
      <c r="CO287" s="6">
        <v>2.0767871866165795</v>
      </c>
      <c r="CP287" s="6">
        <v>2.3340727885087222</v>
      </c>
      <c r="CQ287" s="6">
        <v>1.0655656108108111</v>
      </c>
      <c r="CR287" s="6">
        <v>-0.42234880560175103</v>
      </c>
      <c r="CS287" s="6">
        <v>-1.0533297652066977</v>
      </c>
      <c r="DA287" s="4"/>
      <c r="DT287" s="2"/>
      <c r="DV287" s="2"/>
      <c r="DW287" s="2"/>
      <c r="DX287" s="2"/>
      <c r="DY287" s="2"/>
      <c r="DZ287" s="2"/>
      <c r="EA287" s="2"/>
      <c r="EB287" s="2"/>
    </row>
    <row r="288" spans="79:132" x14ac:dyDescent="0.5">
      <c r="CA288" s="19">
        <v>1</v>
      </c>
      <c r="CB288" s="20">
        <v>1</v>
      </c>
      <c r="CC288" s="20">
        <v>0</v>
      </c>
      <c r="CD288" s="20">
        <v>1</v>
      </c>
      <c r="CE288" s="20">
        <v>0</v>
      </c>
      <c r="CF288" s="20">
        <v>1</v>
      </c>
      <c r="CG288" s="39">
        <v>0</v>
      </c>
      <c r="CH288" s="2" t="s">
        <v>28</v>
      </c>
      <c r="CL288" s="7">
        <v>11.181167811269688</v>
      </c>
      <c r="CM288" s="7">
        <v>12.958291555094416</v>
      </c>
      <c r="CN288" s="7">
        <v>13.478766926986999</v>
      </c>
      <c r="CO288" s="7">
        <v>14.136596893223956</v>
      </c>
      <c r="CP288" s="7">
        <v>13.887035530786541</v>
      </c>
      <c r="CQ288" s="7">
        <v>13.860719750703719</v>
      </c>
      <c r="CR288" s="7">
        <v>12.411475697643688</v>
      </c>
      <c r="CS288" s="7">
        <v>12.096793310863594</v>
      </c>
      <c r="DT288" s="2"/>
      <c r="DU288" s="2"/>
      <c r="DV288" s="2"/>
      <c r="DW288" s="2"/>
      <c r="DX288" s="2"/>
      <c r="DY288" s="2"/>
      <c r="DZ288" s="2"/>
      <c r="EA288" s="2"/>
      <c r="EB288" s="2"/>
    </row>
    <row r="289" spans="79:132" x14ac:dyDescent="0.5">
      <c r="CA289" s="19">
        <v>-1</v>
      </c>
      <c r="CB289" s="20">
        <v>0</v>
      </c>
      <c r="CC289" s="20">
        <v>1</v>
      </c>
      <c r="CD289" s="20">
        <v>-1</v>
      </c>
      <c r="CE289" s="20">
        <v>1</v>
      </c>
      <c r="CF289" s="20">
        <v>1</v>
      </c>
      <c r="CG289" s="39">
        <v>-1</v>
      </c>
      <c r="CH289" s="2" t="s">
        <v>28</v>
      </c>
      <c r="CL289" s="7">
        <v>2.0399716070465592</v>
      </c>
      <c r="CM289" s="7">
        <v>4.0469303913963888</v>
      </c>
      <c r="CN289" s="7">
        <v>0.3703377304307276</v>
      </c>
      <c r="CO289" s="7">
        <v>-1.4508026091071446</v>
      </c>
      <c r="CP289" s="7">
        <v>2.3115804241237119</v>
      </c>
      <c r="CQ289" s="7">
        <v>3.5679469295858155</v>
      </c>
      <c r="CR289" s="7">
        <v>2.2228829257126144</v>
      </c>
      <c r="CS289" s="7">
        <v>2.9316400935606137</v>
      </c>
      <c r="DT289" s="2"/>
      <c r="DU289" s="2"/>
      <c r="DV289" s="2"/>
      <c r="DW289" s="2"/>
      <c r="DX289" s="2"/>
      <c r="DY289" s="2"/>
      <c r="DZ289" s="2"/>
      <c r="EA289" s="2"/>
      <c r="EB289" s="2"/>
    </row>
    <row r="290" spans="79:132" x14ac:dyDescent="0.5">
      <c r="CA290" s="19">
        <v>0</v>
      </c>
      <c r="CB290" s="20">
        <v>1</v>
      </c>
      <c r="CC290" s="20">
        <v>0</v>
      </c>
      <c r="CD290" s="20">
        <v>0</v>
      </c>
      <c r="CE290" s="20">
        <v>-1</v>
      </c>
      <c r="CF290" s="20">
        <v>0</v>
      </c>
      <c r="CG290" s="39">
        <v>-1</v>
      </c>
      <c r="CH290" s="2" t="s">
        <v>28</v>
      </c>
      <c r="CL290" s="7">
        <v>5.3741310758000411</v>
      </c>
      <c r="CM290" s="7">
        <v>3.2442196625615463</v>
      </c>
      <c r="CN290" s="7">
        <v>5.6764420038523342</v>
      </c>
      <c r="CO290" s="7">
        <v>5.806046346624071</v>
      </c>
      <c r="CP290" s="7">
        <v>4.1302782238735425</v>
      </c>
      <c r="CQ290" s="7">
        <v>3.8082125122020489</v>
      </c>
      <c r="CR290" s="7">
        <v>5.6419193919018431</v>
      </c>
      <c r="CS290" s="7">
        <v>5.5913832651072202</v>
      </c>
      <c r="DT290" s="2"/>
      <c r="DU290" s="2"/>
      <c r="DV290" s="2"/>
      <c r="DW290" s="2"/>
      <c r="DX290" s="2"/>
      <c r="DY290" s="2"/>
      <c r="DZ290" s="2"/>
      <c r="EA290" s="2"/>
      <c r="EB290" s="2"/>
    </row>
    <row r="291" spans="79:132" x14ac:dyDescent="0.5">
      <c r="CA291" s="19">
        <v>-1</v>
      </c>
      <c r="CB291" s="20">
        <v>-1</v>
      </c>
      <c r="CC291" s="20">
        <v>0</v>
      </c>
      <c r="CD291" s="20">
        <v>0</v>
      </c>
      <c r="CE291" s="20">
        <v>1</v>
      </c>
      <c r="CF291" s="20">
        <v>-1</v>
      </c>
      <c r="CG291" s="39">
        <v>0</v>
      </c>
      <c r="CH291" s="2" t="s">
        <v>28</v>
      </c>
      <c r="CL291" s="7">
        <v>-10.780413400394806</v>
      </c>
      <c r="CM291" s="7">
        <v>-9.7777879662240341</v>
      </c>
      <c r="CN291" s="7">
        <v>-12.33742109967449</v>
      </c>
      <c r="CO291" s="7">
        <v>-12.109857211772482</v>
      </c>
      <c r="CP291" s="7">
        <v>-11.293522158301016</v>
      </c>
      <c r="CQ291" s="7">
        <v>-11.323490747045177</v>
      </c>
      <c r="CR291" s="7">
        <v>-12.362922300318001</v>
      </c>
      <c r="CS291" s="7">
        <v>-12.418062605068609</v>
      </c>
      <c r="DT291" s="2"/>
      <c r="DU291" s="2"/>
      <c r="DV291" s="2"/>
      <c r="DW291" s="2"/>
      <c r="DX291" s="2"/>
      <c r="DY291" s="2"/>
      <c r="DZ291" s="2"/>
      <c r="EA291" s="2"/>
      <c r="EB291" s="2"/>
    </row>
    <row r="292" spans="79:132" x14ac:dyDescent="0.5">
      <c r="CA292" s="19">
        <v>0</v>
      </c>
      <c r="CB292" s="20">
        <v>-1</v>
      </c>
      <c r="CC292" s="20">
        <v>1</v>
      </c>
      <c r="CD292" s="20">
        <v>0</v>
      </c>
      <c r="CE292" s="20">
        <v>1</v>
      </c>
      <c r="CF292" s="20">
        <v>1</v>
      </c>
      <c r="CG292" s="39">
        <v>1</v>
      </c>
      <c r="CH292" s="2" t="s">
        <v>28</v>
      </c>
      <c r="CL292" s="7">
        <v>-0.66584978769830805</v>
      </c>
      <c r="CM292" s="7">
        <v>3.3357836284075217</v>
      </c>
      <c r="CN292" s="7">
        <v>-0.71967325029047213</v>
      </c>
      <c r="CO292" s="7">
        <v>-1.0890271436335484</v>
      </c>
      <c r="CP292" s="7">
        <v>1.2213679023991322</v>
      </c>
      <c r="CQ292" s="7">
        <v>2.5657226844638199</v>
      </c>
      <c r="CR292" s="7">
        <v>-0.13494549861331162</v>
      </c>
      <c r="CS292" s="7">
        <v>0.16457248148580206</v>
      </c>
      <c r="DT292" s="2"/>
      <c r="DU292" s="2"/>
      <c r="DV292" s="2"/>
      <c r="DW292" s="2"/>
      <c r="DX292" s="2"/>
      <c r="DY292" s="2"/>
      <c r="DZ292" s="2"/>
      <c r="EA292" s="2"/>
      <c r="EB292" s="2"/>
    </row>
    <row r="293" spans="79:132" x14ac:dyDescent="0.5">
      <c r="CA293" s="19">
        <v>1</v>
      </c>
      <c r="CB293" s="20">
        <v>1</v>
      </c>
      <c r="CC293" s="20">
        <v>0</v>
      </c>
      <c r="CD293" s="20">
        <v>1</v>
      </c>
      <c r="CE293" s="20">
        <v>1</v>
      </c>
      <c r="CF293" s="20">
        <v>1</v>
      </c>
      <c r="CG293" s="39">
        <v>0</v>
      </c>
      <c r="CH293" s="2" t="s">
        <v>28</v>
      </c>
      <c r="CL293" s="7">
        <v>11.009505298228179</v>
      </c>
      <c r="CM293" s="7">
        <v>13.978393165339169</v>
      </c>
      <c r="CN293" s="7">
        <v>12.72783377355395</v>
      </c>
      <c r="CO293" s="7">
        <v>13.034494401046203</v>
      </c>
      <c r="CP293" s="7">
        <v>14.478555882700775</v>
      </c>
      <c r="CQ293" s="7">
        <v>14.497901195666124</v>
      </c>
      <c r="CR293" s="7">
        <v>11.781785828934208</v>
      </c>
      <c r="CS293" s="7">
        <v>11.518696353142051</v>
      </c>
      <c r="DT293" s="2"/>
      <c r="DU293" s="2"/>
      <c r="DV293" s="2"/>
      <c r="DW293" s="2"/>
      <c r="DX293" s="2"/>
      <c r="DY293" s="2"/>
      <c r="DZ293" s="2"/>
      <c r="EA293" s="2"/>
      <c r="EB293" s="2"/>
    </row>
    <row r="294" spans="79:132" x14ac:dyDescent="0.5">
      <c r="CA294" s="19">
        <v>-1</v>
      </c>
      <c r="CB294" s="20">
        <v>0</v>
      </c>
      <c r="CC294" s="20">
        <v>0</v>
      </c>
      <c r="CD294" s="20">
        <v>0</v>
      </c>
      <c r="CE294" s="20">
        <v>1</v>
      </c>
      <c r="CF294" s="20">
        <v>0</v>
      </c>
      <c r="CG294" s="39">
        <v>-1</v>
      </c>
      <c r="CH294" s="2" t="s">
        <v>28</v>
      </c>
      <c r="CL294" s="7">
        <v>-2.0958927571387829</v>
      </c>
      <c r="CM294" s="7">
        <v>-0.3726709209470509</v>
      </c>
      <c r="CN294" s="7">
        <v>-2.694152042385574</v>
      </c>
      <c r="CO294" s="7">
        <v>-3.038979638468442</v>
      </c>
      <c r="CP294" s="7">
        <v>-1.0380726815776715</v>
      </c>
      <c r="CQ294" s="7">
        <v>-0.90594070838391372</v>
      </c>
      <c r="CR294" s="7">
        <v>-2.6058477015407493</v>
      </c>
      <c r="CS294" s="7">
        <v>-2.5674879895158806</v>
      </c>
      <c r="DT294" s="2"/>
      <c r="DU294" s="2"/>
      <c r="DV294" s="2"/>
      <c r="DW294" s="2"/>
      <c r="DX294" s="2"/>
      <c r="DY294" s="2"/>
      <c r="DZ294" s="2"/>
      <c r="EA294" s="2"/>
      <c r="EB294" s="2"/>
    </row>
    <row r="295" spans="79:132" x14ac:dyDescent="0.5">
      <c r="CA295" s="19">
        <v>-1</v>
      </c>
      <c r="CB295" s="20">
        <v>1</v>
      </c>
      <c r="CC295" s="20">
        <v>0</v>
      </c>
      <c r="CD295" s="20">
        <v>1</v>
      </c>
      <c r="CE295" s="20">
        <v>-1</v>
      </c>
      <c r="CF295" s="20">
        <v>0</v>
      </c>
      <c r="CG295" s="39">
        <v>1</v>
      </c>
      <c r="CH295" s="2" t="s">
        <v>28</v>
      </c>
      <c r="CL295" s="7">
        <v>7.0223177556191594</v>
      </c>
      <c r="CM295" s="7">
        <v>7.0118491099953708</v>
      </c>
      <c r="CN295" s="7">
        <v>8.6255020956453716</v>
      </c>
      <c r="CO295" s="7">
        <v>9.9980113739626066</v>
      </c>
      <c r="CP295" s="7">
        <v>7.5026782109529293</v>
      </c>
      <c r="CQ295" s="7">
        <v>7.1651379175518688</v>
      </c>
      <c r="CR295" s="7">
        <v>7.3440048251057428</v>
      </c>
      <c r="CS295" s="7">
        <v>6.8588198968294112</v>
      </c>
      <c r="DT295" s="2"/>
      <c r="DU295" s="2"/>
      <c r="DV295" s="2"/>
      <c r="DW295" s="2"/>
      <c r="DX295" s="2"/>
      <c r="DY295" s="2"/>
      <c r="DZ295" s="2"/>
      <c r="EA295" s="2"/>
      <c r="EB295" s="2"/>
    </row>
    <row r="296" spans="79:132" x14ac:dyDescent="0.5">
      <c r="CA296" s="19">
        <v>0</v>
      </c>
      <c r="CB296" s="20">
        <v>1</v>
      </c>
      <c r="CC296" s="20">
        <v>0</v>
      </c>
      <c r="CD296" s="20">
        <v>0</v>
      </c>
      <c r="CE296" s="20">
        <v>-1</v>
      </c>
      <c r="CF296" s="20">
        <v>1</v>
      </c>
      <c r="CG296" s="39">
        <v>-1</v>
      </c>
      <c r="CH296" s="2" t="s">
        <v>28</v>
      </c>
      <c r="CL296" s="7">
        <v>8.8561831562975328</v>
      </c>
      <c r="CM296" s="7">
        <v>8.3850154350322299</v>
      </c>
      <c r="CN296" s="7">
        <v>10.394202210721968</v>
      </c>
      <c r="CO296" s="7">
        <v>10.172980065481793</v>
      </c>
      <c r="CP296" s="7">
        <v>9.6639291248091101</v>
      </c>
      <c r="CQ296" s="7">
        <v>9.7803685936988582</v>
      </c>
      <c r="CR296" s="7">
        <v>10.386764467486735</v>
      </c>
      <c r="CS296" s="7">
        <v>10.428671573274272</v>
      </c>
      <c r="DT296" s="2"/>
      <c r="DU296" s="2"/>
      <c r="DV296" s="2"/>
      <c r="DW296" s="2"/>
      <c r="DX296" s="2"/>
      <c r="DY296" s="2"/>
      <c r="DZ296" s="2"/>
      <c r="EA296" s="2"/>
      <c r="EB296" s="2"/>
    </row>
    <row r="297" spans="79:132" x14ac:dyDescent="0.5">
      <c r="CA297" s="19">
        <v>1</v>
      </c>
      <c r="CB297" s="20">
        <v>0</v>
      </c>
      <c r="CC297" s="20">
        <v>1</v>
      </c>
      <c r="CD297" s="20">
        <v>0</v>
      </c>
      <c r="CE297" s="20">
        <v>0</v>
      </c>
      <c r="CF297" s="20">
        <v>-1</v>
      </c>
      <c r="CG297" s="39">
        <v>0</v>
      </c>
      <c r="CH297" s="2" t="s">
        <v>28</v>
      </c>
      <c r="CL297" s="7">
        <v>-1.331592628795975</v>
      </c>
      <c r="CM297" s="7">
        <v>-3.3088157227804951</v>
      </c>
      <c r="CN297" s="7">
        <v>-3.5355327712248821</v>
      </c>
      <c r="CO297" s="7">
        <v>-3.0799710884342311</v>
      </c>
      <c r="CP297" s="7">
        <v>-5.0860626421065547</v>
      </c>
      <c r="CQ297" s="7">
        <v>-5.0272548129814325</v>
      </c>
      <c r="CR297" s="7">
        <v>-3.0065584250499824</v>
      </c>
      <c r="CS297" s="7">
        <v>-2.9292298379467443</v>
      </c>
      <c r="DT297" s="2"/>
      <c r="DU297" s="2"/>
      <c r="DV297" s="2"/>
      <c r="DW297" s="2"/>
      <c r="DX297" s="2"/>
      <c r="DY297" s="2"/>
      <c r="DZ297" s="2"/>
      <c r="EA297" s="2"/>
      <c r="EB297" s="2"/>
    </row>
    <row r="298" spans="79:132" x14ac:dyDescent="0.5">
      <c r="CA298" s="22">
        <v>1</v>
      </c>
      <c r="CB298" s="23">
        <v>0</v>
      </c>
      <c r="CC298" s="23">
        <v>0</v>
      </c>
      <c r="CD298" s="23">
        <v>0</v>
      </c>
      <c r="CE298" s="23">
        <v>1</v>
      </c>
      <c r="CF298" s="23">
        <v>-1</v>
      </c>
      <c r="CG298" s="42">
        <v>0</v>
      </c>
      <c r="CH298" s="2" t="s">
        <v>28</v>
      </c>
      <c r="CL298" s="8">
        <v>-2.7294843494417265</v>
      </c>
      <c r="CM298" s="8">
        <v>-3.727921631034127</v>
      </c>
      <c r="CN298" s="8">
        <v>-4.5254744713501616</v>
      </c>
      <c r="CO298" s="8">
        <v>-4.5321590647447847</v>
      </c>
      <c r="CP298" s="8">
        <v>-4.3125375155294288</v>
      </c>
      <c r="CQ298" s="8">
        <v>-4.7918524831880873</v>
      </c>
      <c r="CR298" s="8">
        <v>-4.3983771114631036</v>
      </c>
      <c r="CS298" s="8">
        <v>-4.425994234094258</v>
      </c>
      <c r="DT298" s="2"/>
      <c r="DU298" s="2"/>
      <c r="DV298" s="2"/>
      <c r="DW298" s="2"/>
      <c r="DX298" s="2"/>
      <c r="DY298" s="2"/>
      <c r="DZ298" s="2"/>
      <c r="EA298" s="2"/>
      <c r="EB298" s="2"/>
    </row>
    <row r="299" spans="79:132" x14ac:dyDescent="0.5">
      <c r="DT299" s="2"/>
      <c r="DU299" s="2"/>
      <c r="DV299" s="2"/>
      <c r="DW299" s="2"/>
      <c r="DX299" s="2"/>
      <c r="DY299" s="2"/>
      <c r="DZ299" s="2"/>
      <c r="EA299" s="2"/>
      <c r="EB299" s="2"/>
    </row>
    <row r="300" spans="79:132" x14ac:dyDescent="0.5">
      <c r="CK300" s="3" t="s">
        <v>0</v>
      </c>
      <c r="DT300" s="2"/>
      <c r="DU300" s="2"/>
      <c r="DV300" s="2"/>
      <c r="DW300" s="2"/>
      <c r="DX300" s="2"/>
      <c r="DY300" s="2"/>
      <c r="DZ300" s="2"/>
      <c r="EA300" s="2"/>
      <c r="EB300" s="2"/>
    </row>
    <row r="301" spans="79:132" x14ac:dyDescent="0.5">
      <c r="CL301" s="6" cm="1">
        <f t="array" ref="CL301:CS312">RELU(_xlfn.ANCHORARRAY(CL287))</f>
        <v>0.97071144143440691</v>
      </c>
      <c r="CM301" s="6">
        <v>1.4720490395158077</v>
      </c>
      <c r="CN301" s="6">
        <v>1.1668670352174075</v>
      </c>
      <c r="CO301" s="6">
        <v>2.0767871866165795</v>
      </c>
      <c r="CP301" s="6">
        <v>2.3340727885087222</v>
      </c>
      <c r="CQ301" s="6">
        <v>1.0655656108108111</v>
      </c>
      <c r="CR301" s="6">
        <v>0</v>
      </c>
      <c r="CS301" s="6">
        <v>0</v>
      </c>
      <c r="DT301" s="2"/>
      <c r="DU301" s="2"/>
      <c r="DV301" s="2"/>
      <c r="DW301" s="2"/>
      <c r="DX301" s="2"/>
      <c r="DY301" s="2"/>
      <c r="DZ301" s="2"/>
      <c r="EA301" s="2"/>
      <c r="EB301" s="2"/>
    </row>
    <row r="302" spans="79:132" x14ac:dyDescent="0.5">
      <c r="CL302" s="7">
        <v>11.181167811269688</v>
      </c>
      <c r="CM302" s="7">
        <v>12.958291555094416</v>
      </c>
      <c r="CN302" s="7">
        <v>13.478766926986999</v>
      </c>
      <c r="CO302" s="7">
        <v>14.136596893223956</v>
      </c>
      <c r="CP302" s="7">
        <v>13.887035530786541</v>
      </c>
      <c r="CQ302" s="7">
        <v>13.860719750703719</v>
      </c>
      <c r="CR302" s="7">
        <v>12.411475697643688</v>
      </c>
      <c r="CS302" s="7">
        <v>12.096793310863594</v>
      </c>
      <c r="DT302" s="2"/>
      <c r="DU302" s="2"/>
      <c r="DV302" s="2"/>
      <c r="DW302" s="2"/>
      <c r="DX302" s="2"/>
      <c r="DY302" s="2"/>
      <c r="DZ302" s="2"/>
      <c r="EA302" s="2"/>
      <c r="EB302" s="2"/>
    </row>
    <row r="303" spans="79:132" x14ac:dyDescent="0.5">
      <c r="CL303" s="7">
        <v>2.0399716070465592</v>
      </c>
      <c r="CM303" s="7">
        <v>4.0469303913963888</v>
      </c>
      <c r="CN303" s="7">
        <v>0.3703377304307276</v>
      </c>
      <c r="CO303" s="7">
        <v>0</v>
      </c>
      <c r="CP303" s="7">
        <v>2.3115804241237119</v>
      </c>
      <c r="CQ303" s="7">
        <v>3.5679469295858155</v>
      </c>
      <c r="CR303" s="7">
        <v>2.2228829257126144</v>
      </c>
      <c r="CS303" s="7">
        <v>2.9316400935606137</v>
      </c>
      <c r="DT303" s="2"/>
      <c r="DU303" s="2"/>
      <c r="DV303" s="2"/>
      <c r="DW303" s="2"/>
      <c r="DX303" s="2"/>
      <c r="DY303" s="2"/>
      <c r="DZ303" s="2"/>
      <c r="EA303" s="2"/>
      <c r="EB303" s="2"/>
    </row>
    <row r="304" spans="79:132" x14ac:dyDescent="0.5">
      <c r="CL304" s="7">
        <v>5.3741310758000411</v>
      </c>
      <c r="CM304" s="7">
        <v>3.2442196625615463</v>
      </c>
      <c r="CN304" s="7">
        <v>5.6764420038523342</v>
      </c>
      <c r="CO304" s="7">
        <v>5.806046346624071</v>
      </c>
      <c r="CP304" s="7">
        <v>4.1302782238735425</v>
      </c>
      <c r="CQ304" s="7">
        <v>3.8082125122020489</v>
      </c>
      <c r="CR304" s="7">
        <v>5.6419193919018431</v>
      </c>
      <c r="CS304" s="7">
        <v>5.5913832651072202</v>
      </c>
      <c r="DT304" s="2"/>
      <c r="DU304" s="2"/>
      <c r="DV304" s="2"/>
      <c r="DW304" s="2"/>
      <c r="DX304" s="2"/>
      <c r="DY304" s="2"/>
      <c r="DZ304" s="2"/>
      <c r="EA304" s="2"/>
      <c r="EB304" s="2"/>
    </row>
    <row r="305" spans="73:132" x14ac:dyDescent="0.5"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DT305" s="2"/>
      <c r="DU305" s="2"/>
      <c r="DV305" s="2"/>
      <c r="DW305" s="2"/>
      <c r="DX305" s="2"/>
      <c r="DY305" s="2"/>
      <c r="DZ305" s="2"/>
      <c r="EA305" s="2"/>
      <c r="EB305" s="2"/>
    </row>
    <row r="306" spans="73:132" x14ac:dyDescent="0.5">
      <c r="CL306" s="7">
        <v>0</v>
      </c>
      <c r="CM306" s="7">
        <v>3.3357836284075217</v>
      </c>
      <c r="CN306" s="7">
        <v>0</v>
      </c>
      <c r="CO306" s="7">
        <v>0</v>
      </c>
      <c r="CP306" s="7">
        <v>1.2213679023991322</v>
      </c>
      <c r="CQ306" s="7">
        <v>2.5657226844638199</v>
      </c>
      <c r="CR306" s="7">
        <v>0</v>
      </c>
      <c r="CS306" s="7">
        <v>0.16457248148580206</v>
      </c>
      <c r="DT306" s="2"/>
      <c r="DU306" s="2"/>
      <c r="DV306" s="2"/>
      <c r="DW306" s="2"/>
      <c r="DX306" s="2"/>
      <c r="DY306" s="2"/>
      <c r="DZ306" s="2"/>
      <c r="EA306" s="2"/>
      <c r="EB306" s="2"/>
    </row>
    <row r="307" spans="73:132" x14ac:dyDescent="0.5">
      <c r="CL307" s="7">
        <v>11.009505298228179</v>
      </c>
      <c r="CM307" s="7">
        <v>13.978393165339169</v>
      </c>
      <c r="CN307" s="7">
        <v>12.72783377355395</v>
      </c>
      <c r="CO307" s="7">
        <v>13.034494401046203</v>
      </c>
      <c r="CP307" s="7">
        <v>14.478555882700775</v>
      </c>
      <c r="CQ307" s="7">
        <v>14.497901195666124</v>
      </c>
      <c r="CR307" s="7">
        <v>11.781785828934208</v>
      </c>
      <c r="CS307" s="7">
        <v>11.518696353142051</v>
      </c>
      <c r="DT307" s="2"/>
      <c r="DU307" s="2"/>
      <c r="DV307" s="2"/>
      <c r="DW307" s="2"/>
      <c r="DX307" s="2"/>
      <c r="DY307" s="2"/>
      <c r="DZ307" s="2"/>
      <c r="EA307" s="2"/>
      <c r="EB307" s="2"/>
    </row>
    <row r="308" spans="73:132" x14ac:dyDescent="0.5"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DT308" s="2"/>
      <c r="DU308" s="2"/>
      <c r="DV308" s="2"/>
      <c r="DW308" s="2"/>
      <c r="DX308" s="2"/>
      <c r="DY308" s="2"/>
      <c r="DZ308" s="2"/>
      <c r="EA308" s="2"/>
      <c r="EB308" s="2"/>
    </row>
    <row r="309" spans="73:132" x14ac:dyDescent="0.5">
      <c r="CL309" s="7">
        <v>7.0223177556191594</v>
      </c>
      <c r="CM309" s="7">
        <v>7.0118491099953708</v>
      </c>
      <c r="CN309" s="7">
        <v>8.6255020956453716</v>
      </c>
      <c r="CO309" s="7">
        <v>9.9980113739626066</v>
      </c>
      <c r="CP309" s="7">
        <v>7.5026782109529293</v>
      </c>
      <c r="CQ309" s="7">
        <v>7.1651379175518688</v>
      </c>
      <c r="CR309" s="7">
        <v>7.3440048251057428</v>
      </c>
      <c r="CS309" s="7">
        <v>6.8588198968294112</v>
      </c>
      <c r="DZ309" s="2"/>
      <c r="EA309" s="2"/>
      <c r="EB309" s="2"/>
    </row>
    <row r="310" spans="73:132" x14ac:dyDescent="0.5">
      <c r="CL310" s="7">
        <v>8.8561831562975328</v>
      </c>
      <c r="CM310" s="7">
        <v>8.3850154350322299</v>
      </c>
      <c r="CN310" s="7">
        <v>10.394202210721968</v>
      </c>
      <c r="CO310" s="7">
        <v>10.172980065481793</v>
      </c>
      <c r="CP310" s="7">
        <v>9.6639291248091101</v>
      </c>
      <c r="CQ310" s="7">
        <v>9.7803685936988582</v>
      </c>
      <c r="CR310" s="7">
        <v>10.386764467486735</v>
      </c>
      <c r="CS310" s="7">
        <v>10.428671573274272</v>
      </c>
      <c r="DZ310" s="2"/>
      <c r="EA310" s="2"/>
      <c r="EB310" s="2"/>
    </row>
    <row r="311" spans="73:132" x14ac:dyDescent="0.5"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DZ311" s="2"/>
      <c r="EA311" s="2"/>
      <c r="EB311" s="2"/>
    </row>
    <row r="312" spans="73:132" x14ac:dyDescent="0.5"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  <c r="DZ312" s="2"/>
      <c r="EA312" s="2"/>
      <c r="EB312" s="2"/>
    </row>
    <row r="313" spans="73:132" x14ac:dyDescent="0.5">
      <c r="CL313" s="2">
        <v>1</v>
      </c>
      <c r="CM313" s="2">
        <v>1</v>
      </c>
      <c r="CN313" s="2">
        <v>1</v>
      </c>
      <c r="CO313" s="2">
        <v>1</v>
      </c>
      <c r="CP313" s="2">
        <v>1</v>
      </c>
      <c r="CQ313" s="2">
        <v>1</v>
      </c>
      <c r="CR313" s="2">
        <v>1</v>
      </c>
      <c r="CS313" s="2">
        <v>1</v>
      </c>
      <c r="DZ313" s="2"/>
      <c r="EA313" s="2"/>
      <c r="EB313" s="2"/>
    </row>
    <row r="314" spans="73:132" x14ac:dyDescent="0.5">
      <c r="BU314" s="25" t="s">
        <v>40</v>
      </c>
      <c r="CL314" s="2" t="s">
        <v>27</v>
      </c>
      <c r="CM314" s="2" t="s">
        <v>27</v>
      </c>
      <c r="CN314" s="2" t="s">
        <v>27</v>
      </c>
      <c r="CO314" s="2" t="s">
        <v>27</v>
      </c>
      <c r="CP314" s="2" t="s">
        <v>27</v>
      </c>
      <c r="CQ314" s="2" t="s">
        <v>27</v>
      </c>
      <c r="CR314" s="2" t="s">
        <v>27</v>
      </c>
      <c r="CS314" s="2" t="s">
        <v>27</v>
      </c>
      <c r="DZ314" s="2"/>
      <c r="EA314" s="2"/>
      <c r="EB314" s="2"/>
    </row>
    <row r="315" spans="73:132" x14ac:dyDescent="0.5">
      <c r="BU315" s="16">
        <v>0</v>
      </c>
      <c r="BV315" s="17">
        <v>1</v>
      </c>
      <c r="BW315" s="17">
        <v>0</v>
      </c>
      <c r="BX315" s="17">
        <v>0</v>
      </c>
      <c r="BY315" s="17">
        <v>0</v>
      </c>
      <c r="BZ315" s="17">
        <v>0</v>
      </c>
      <c r="CA315" s="17">
        <v>1</v>
      </c>
      <c r="CB315" s="17">
        <v>-1</v>
      </c>
      <c r="CC315" s="17">
        <v>1</v>
      </c>
      <c r="CD315" s="17">
        <v>-1</v>
      </c>
      <c r="CE315" s="17">
        <v>0</v>
      </c>
      <c r="CF315" s="17">
        <v>-1</v>
      </c>
      <c r="CG315" s="34">
        <v>0</v>
      </c>
      <c r="CH315" s="2" t="s">
        <v>28</v>
      </c>
      <c r="CL315" s="43" cm="1">
        <f t="array" ref="CL315:CS320">MMULT($BU315:$CG320,CL301:CS313)</f>
        <v>20.356807708819492</v>
      </c>
      <c r="CM315" s="43">
        <v>25.563518395396727</v>
      </c>
      <c r="CN315" s="43">
        <v>24.437900585464352</v>
      </c>
      <c r="CO315" s="43">
        <v>26.996122602750972</v>
      </c>
      <c r="CP315" s="43">
        <v>26.204340499631137</v>
      </c>
      <c r="CQ315" s="43">
        <v>25.743390270222854</v>
      </c>
      <c r="CR315" s="43">
        <v>21.150501884196903</v>
      </c>
      <c r="CS315" s="43">
        <v>20.045637987560781</v>
      </c>
      <c r="DZ315" s="2"/>
      <c r="EA315" s="2"/>
      <c r="EB315" s="2"/>
    </row>
    <row r="316" spans="73:132" x14ac:dyDescent="0.5">
      <c r="BU316" s="19">
        <v>0</v>
      </c>
      <c r="BV316" s="20">
        <v>-1</v>
      </c>
      <c r="BW316" s="20">
        <v>0</v>
      </c>
      <c r="BX316" s="20">
        <v>0</v>
      </c>
      <c r="BY316" s="20">
        <v>0</v>
      </c>
      <c r="BZ316" s="20">
        <v>0</v>
      </c>
      <c r="CA316" s="20">
        <v>1</v>
      </c>
      <c r="CB316" s="20">
        <v>-1</v>
      </c>
      <c r="CC316" s="20">
        <v>1</v>
      </c>
      <c r="CD316" s="20">
        <v>0</v>
      </c>
      <c r="CE316" s="20">
        <v>0</v>
      </c>
      <c r="CF316" s="20">
        <v>-1</v>
      </c>
      <c r="CG316" s="39">
        <v>-1</v>
      </c>
      <c r="CH316" s="2" t="s">
        <v>28</v>
      </c>
      <c r="CL316" s="44">
        <v>5.8506552425776501</v>
      </c>
      <c r="CM316" s="44">
        <v>7.0319507202401237</v>
      </c>
      <c r="CN316" s="44">
        <v>6.8745689422123224</v>
      </c>
      <c r="CO316" s="44">
        <v>7.8959088817848535</v>
      </c>
      <c r="CP316" s="44">
        <v>7.0941985628671631</v>
      </c>
      <c r="CQ316" s="44">
        <v>6.8023193625142735</v>
      </c>
      <c r="CR316" s="44">
        <v>5.7143149563962625</v>
      </c>
      <c r="CS316" s="44">
        <v>5.2807229391078678</v>
      </c>
      <c r="DZ316" s="2"/>
      <c r="EA316" s="2"/>
      <c r="EB316" s="2"/>
    </row>
    <row r="317" spans="73:132" x14ac:dyDescent="0.5">
      <c r="BU317" s="19">
        <v>-1</v>
      </c>
      <c r="BV317" s="20">
        <v>1</v>
      </c>
      <c r="BW317" s="20">
        <v>0</v>
      </c>
      <c r="BX317" s="20">
        <v>1</v>
      </c>
      <c r="BY317" s="20">
        <v>1</v>
      </c>
      <c r="BZ317" s="20">
        <v>-1</v>
      </c>
      <c r="CA317" s="20">
        <v>0</v>
      </c>
      <c r="CB317" s="20">
        <v>1</v>
      </c>
      <c r="CC317" s="20">
        <v>1</v>
      </c>
      <c r="CD317" s="20">
        <v>-1</v>
      </c>
      <c r="CE317" s="20">
        <v>0</v>
      </c>
      <c r="CF317" s="20">
        <v>1</v>
      </c>
      <c r="CG317" s="39">
        <v>0</v>
      </c>
      <c r="CH317" s="2" t="s">
        <v>28</v>
      </c>
      <c r="CL317" s="44">
        <v>13.750722044956948</v>
      </c>
      <c r="CM317" s="44">
        <v>10.021512224695773</v>
      </c>
      <c r="CN317" s="44">
        <v>16.219641780545327</v>
      </c>
      <c r="CO317" s="44">
        <v>17.690887361712257</v>
      </c>
      <c r="CP317" s="44">
        <v>12.300622149896048</v>
      </c>
      <c r="CQ317" s="44">
        <v>11.422413291484146</v>
      </c>
      <c r="CR317" s="44">
        <v>15.010635447164539</v>
      </c>
      <c r="CS317" s="44">
        <v>13.953752418040153</v>
      </c>
      <c r="DZ317" s="2"/>
      <c r="EA317" s="2"/>
      <c r="EB317" s="2"/>
    </row>
    <row r="318" spans="73:132" x14ac:dyDescent="0.5">
      <c r="BU318" s="19">
        <v>1</v>
      </c>
      <c r="BV318" s="20">
        <v>1</v>
      </c>
      <c r="BW318" s="20">
        <v>1</v>
      </c>
      <c r="BX318" s="20">
        <v>1</v>
      </c>
      <c r="BY318" s="20">
        <v>-1</v>
      </c>
      <c r="BZ318" s="20">
        <v>1</v>
      </c>
      <c r="CA318" s="20">
        <v>-1</v>
      </c>
      <c r="CB318" s="20">
        <v>-1</v>
      </c>
      <c r="CC318" s="20">
        <v>1</v>
      </c>
      <c r="CD318" s="20">
        <v>0</v>
      </c>
      <c r="CE318" s="20">
        <v>0</v>
      </c>
      <c r="CF318" s="20">
        <v>-1</v>
      </c>
      <c r="CG318" s="39">
        <v>-1</v>
      </c>
      <c r="CH318" s="2" t="s">
        <v>28</v>
      </c>
      <c r="CL318" s="44">
        <v>14.578794392941676</v>
      </c>
      <c r="CM318" s="44">
        <v>17.09073022163188</v>
      </c>
      <c r="CN318" s="44">
        <v>15.59008201857889</v>
      </c>
      <c r="CO318" s="44">
        <v>17.982947399381011</v>
      </c>
      <c r="CP318" s="44">
        <v>15.908457197943804</v>
      </c>
      <c r="CQ318" s="44">
        <v>16.535404209651958</v>
      </c>
      <c r="CR318" s="44">
        <v>14.838497011429681</v>
      </c>
      <c r="CS318" s="44">
        <v>15.124512694704592</v>
      </c>
      <c r="DZ318" s="2"/>
      <c r="EA318" s="2"/>
      <c r="EB318" s="2"/>
    </row>
    <row r="319" spans="73:132" x14ac:dyDescent="0.5">
      <c r="BU319" s="19">
        <v>1</v>
      </c>
      <c r="BV319" s="20">
        <v>-1</v>
      </c>
      <c r="BW319" s="20">
        <v>0</v>
      </c>
      <c r="BX319" s="20">
        <v>0</v>
      </c>
      <c r="BY319" s="20">
        <v>-1</v>
      </c>
      <c r="BZ319" s="20">
        <v>0</v>
      </c>
      <c r="CA319" s="20">
        <v>-1</v>
      </c>
      <c r="CB319" s="20">
        <v>-1</v>
      </c>
      <c r="CC319" s="20">
        <v>-1</v>
      </c>
      <c r="CD319" s="20">
        <v>0</v>
      </c>
      <c r="CE319" s="20">
        <v>-1</v>
      </c>
      <c r="CF319" s="20">
        <v>1</v>
      </c>
      <c r="CG319" s="39">
        <v>0</v>
      </c>
      <c r="CH319" s="2" t="s">
        <v>28</v>
      </c>
      <c r="CL319" s="44">
        <v>-28.242279423682621</v>
      </c>
      <c r="CM319" s="44">
        <v>-32.476484790913148</v>
      </c>
      <c r="CN319" s="44">
        <v>-33.665235760968912</v>
      </c>
      <c r="CO319" s="44">
        <v>-35.092315481616183</v>
      </c>
      <c r="CP319" s="44">
        <v>-33.534196835931525</v>
      </c>
      <c r="CQ319" s="44">
        <v>-34.458193253110899</v>
      </c>
      <c r="CR319" s="44">
        <v>-31.537266351683638</v>
      </c>
      <c r="CS319" s="44">
        <v>-30.474309560835053</v>
      </c>
    </row>
    <row r="320" spans="73:132" x14ac:dyDescent="0.5">
      <c r="BU320" s="22">
        <v>0</v>
      </c>
      <c r="BV320" s="23">
        <v>-1</v>
      </c>
      <c r="BW320" s="23">
        <v>0</v>
      </c>
      <c r="BX320" s="23">
        <v>1</v>
      </c>
      <c r="BY320" s="23">
        <v>0</v>
      </c>
      <c r="BZ320" s="23">
        <v>-1</v>
      </c>
      <c r="CA320" s="23">
        <v>1</v>
      </c>
      <c r="CB320" s="23">
        <v>1</v>
      </c>
      <c r="CC320" s="23">
        <v>0</v>
      </c>
      <c r="CD320" s="23">
        <v>1</v>
      </c>
      <c r="CE320" s="23">
        <v>0</v>
      </c>
      <c r="CF320" s="23">
        <v>1</v>
      </c>
      <c r="CG320" s="42">
        <v>-1</v>
      </c>
      <c r="CH320" s="2" t="s">
        <v>28</v>
      </c>
      <c r="CL320" s="45">
        <v>13.058651719056066</v>
      </c>
      <c r="CM320" s="45">
        <v>8.3135530794310082</v>
      </c>
      <c r="CN320" s="45">
        <v>14.319711061141252</v>
      </c>
      <c r="CO320" s="45">
        <v>13.876923919928112</v>
      </c>
      <c r="CP320" s="45">
        <v>12.164359798197754</v>
      </c>
      <c r="CQ320" s="45">
        <v>10.660039866399492</v>
      </c>
      <c r="CR320" s="45">
        <v>14.398993990679099</v>
      </c>
      <c r="CS320" s="45">
        <v>14.277385399174147</v>
      </c>
    </row>
    <row r="322" spans="89:134" x14ac:dyDescent="0.5">
      <c r="CK322" s="3" t="s">
        <v>0</v>
      </c>
    </row>
    <row r="323" spans="89:134" x14ac:dyDescent="0.5">
      <c r="CL323" s="80" cm="1">
        <f t="array" ref="CL323:CS328">RELU(_xlfn.ANCHORARRAY(CL315))</f>
        <v>20.356807708819492</v>
      </c>
      <c r="CM323" s="43">
        <v>25.563518395396727</v>
      </c>
      <c r="CN323" s="43">
        <v>24.437900585464352</v>
      </c>
      <c r="CO323" s="43">
        <v>26.996122602750972</v>
      </c>
      <c r="CP323" s="43">
        <v>26.204340499631137</v>
      </c>
      <c r="CQ323" s="43">
        <v>25.743390270222854</v>
      </c>
      <c r="CR323" s="43">
        <v>21.150501884196903</v>
      </c>
      <c r="CS323" s="43">
        <v>20.045637987560781</v>
      </c>
    </row>
    <row r="324" spans="89:134" x14ac:dyDescent="0.5">
      <c r="CL324" s="44">
        <v>5.8506552425776501</v>
      </c>
      <c r="CM324" s="44">
        <v>7.0319507202401237</v>
      </c>
      <c r="CN324" s="44">
        <v>6.8745689422123224</v>
      </c>
      <c r="CO324" s="44">
        <v>7.8959088817848535</v>
      </c>
      <c r="CP324" s="44">
        <v>7.0941985628671631</v>
      </c>
      <c r="CQ324" s="44">
        <v>6.8023193625142735</v>
      </c>
      <c r="CR324" s="44">
        <v>5.7143149563962625</v>
      </c>
      <c r="CS324" s="44">
        <v>5.2807229391078678</v>
      </c>
    </row>
    <row r="325" spans="89:134" x14ac:dyDescent="0.5">
      <c r="CL325" s="44">
        <v>13.750722044956948</v>
      </c>
      <c r="CM325" s="44">
        <v>10.021512224695773</v>
      </c>
      <c r="CN325" s="44">
        <v>16.219641780545327</v>
      </c>
      <c r="CO325" s="44">
        <v>17.690887361712257</v>
      </c>
      <c r="CP325" s="44">
        <v>12.300622149896048</v>
      </c>
      <c r="CQ325" s="44">
        <v>11.422413291484146</v>
      </c>
      <c r="CR325" s="44">
        <v>15.010635447164539</v>
      </c>
      <c r="CS325" s="44">
        <v>13.953752418040153</v>
      </c>
    </row>
    <row r="326" spans="89:134" x14ac:dyDescent="0.5">
      <c r="CL326" s="44">
        <v>14.578794392941676</v>
      </c>
      <c r="CM326" s="44">
        <v>17.09073022163188</v>
      </c>
      <c r="CN326" s="44">
        <v>15.59008201857889</v>
      </c>
      <c r="CO326" s="44">
        <v>17.982947399381011</v>
      </c>
      <c r="CP326" s="44">
        <v>15.908457197943804</v>
      </c>
      <c r="CQ326" s="44">
        <v>16.535404209651958</v>
      </c>
      <c r="CR326" s="44">
        <v>14.838497011429681</v>
      </c>
      <c r="CS326" s="44">
        <v>15.124512694704592</v>
      </c>
      <c r="DS326"/>
      <c r="DT326"/>
      <c r="DU326"/>
      <c r="DV326"/>
      <c r="DW326"/>
      <c r="DX326"/>
      <c r="DY326"/>
      <c r="DZ326"/>
      <c r="EA326"/>
      <c r="EB326"/>
      <c r="EC326"/>
      <c r="ED326"/>
    </row>
    <row r="327" spans="89:134" x14ac:dyDescent="0.5">
      <c r="CL327" s="44">
        <v>0</v>
      </c>
      <c r="CM327" s="44">
        <v>0</v>
      </c>
      <c r="CN327" s="44">
        <v>0</v>
      </c>
      <c r="CO327" s="44">
        <v>0</v>
      </c>
      <c r="CP327" s="44">
        <v>0</v>
      </c>
      <c r="CQ327" s="44">
        <v>0</v>
      </c>
      <c r="CR327" s="44">
        <v>0</v>
      </c>
      <c r="CS327" s="44">
        <v>0</v>
      </c>
      <c r="DS327"/>
      <c r="DT327"/>
      <c r="DU327"/>
      <c r="DV327"/>
      <c r="DW327"/>
      <c r="DX327"/>
      <c r="DY327"/>
      <c r="DZ327"/>
      <c r="EA327"/>
      <c r="EB327"/>
      <c r="EC327"/>
      <c r="ED327"/>
    </row>
    <row r="328" spans="89:134" x14ac:dyDescent="0.5">
      <c r="CL328" s="45">
        <v>13.058651719056066</v>
      </c>
      <c r="CM328" s="45">
        <v>8.3135530794310082</v>
      </c>
      <c r="CN328" s="45">
        <v>14.319711061141252</v>
      </c>
      <c r="CO328" s="45">
        <v>13.876923919928112</v>
      </c>
      <c r="CP328" s="45">
        <v>12.164359798197754</v>
      </c>
      <c r="CQ328" s="45">
        <v>10.660039866399492</v>
      </c>
      <c r="CR328" s="45">
        <v>14.398993990679099</v>
      </c>
      <c r="CS328" s="45">
        <v>14.277385399174147</v>
      </c>
      <c r="DS328"/>
      <c r="DT328"/>
      <c r="DU328"/>
      <c r="DV328"/>
      <c r="DW328"/>
      <c r="DX328"/>
      <c r="DY328"/>
      <c r="DZ328"/>
      <c r="EA328"/>
      <c r="EB328"/>
      <c r="EC328"/>
      <c r="ED328"/>
    </row>
    <row r="329" spans="89:134" x14ac:dyDescent="0.5">
      <c r="DS329"/>
      <c r="DT329"/>
      <c r="DU329"/>
      <c r="DV329"/>
      <c r="DW329"/>
      <c r="DX329"/>
      <c r="DY329"/>
      <c r="DZ329"/>
      <c r="EA329"/>
      <c r="EB329"/>
      <c r="EC329"/>
      <c r="ED329"/>
    </row>
    <row r="330" spans="89:134" x14ac:dyDescent="0.5">
      <c r="DS330"/>
      <c r="DT330"/>
      <c r="DU330"/>
      <c r="DV330"/>
      <c r="DW330"/>
      <c r="DX330"/>
      <c r="DY330"/>
      <c r="DZ330"/>
      <c r="EA330"/>
      <c r="EB330"/>
      <c r="EC330"/>
      <c r="ED330"/>
    </row>
    <row r="331" spans="89:134" x14ac:dyDescent="0.5">
      <c r="DO331" s="2"/>
      <c r="DS331"/>
      <c r="DT331"/>
      <c r="DU331"/>
      <c r="DV331"/>
      <c r="DW331"/>
      <c r="DX331"/>
      <c r="DY331"/>
      <c r="DZ331"/>
      <c r="EA331"/>
      <c r="EB331"/>
      <c r="EC331"/>
      <c r="ED331"/>
    </row>
    <row r="332" spans="89:134" x14ac:dyDescent="0.5">
      <c r="DO332" s="15"/>
      <c r="DS332"/>
      <c r="DT332"/>
      <c r="DU332"/>
      <c r="DV332"/>
      <c r="DW332"/>
      <c r="DX332"/>
      <c r="DY332"/>
      <c r="DZ332"/>
      <c r="EA332"/>
      <c r="EB332"/>
      <c r="EC332"/>
      <c r="ED332"/>
    </row>
    <row r="333" spans="89:134" x14ac:dyDescent="0.5">
      <c r="DO333" s="2"/>
      <c r="DS333"/>
      <c r="DT333"/>
      <c r="DU333"/>
      <c r="DV333"/>
      <c r="DW333"/>
      <c r="DX333"/>
      <c r="DY333"/>
      <c r="DZ333"/>
      <c r="EA333"/>
      <c r="EB333"/>
      <c r="EC333"/>
      <c r="ED333"/>
    </row>
    <row r="334" spans="89:134" x14ac:dyDescent="0.5">
      <c r="DS334"/>
      <c r="DT334"/>
      <c r="DU334"/>
      <c r="DV334"/>
      <c r="DW334"/>
      <c r="DX334"/>
      <c r="DY334"/>
      <c r="DZ334"/>
      <c r="EA334"/>
      <c r="EB334"/>
      <c r="EC334"/>
      <c r="ED334"/>
    </row>
    <row r="335" spans="89:134" x14ac:dyDescent="0.5">
      <c r="DA335" s="4"/>
      <c r="DS335"/>
      <c r="DT335"/>
      <c r="DU335"/>
      <c r="DV335"/>
      <c r="DW335"/>
      <c r="DX335"/>
      <c r="DY335"/>
      <c r="DZ335"/>
      <c r="EA335"/>
      <c r="EB335"/>
      <c r="EC335"/>
      <c r="ED335"/>
    </row>
    <row r="336" spans="89:134" x14ac:dyDescent="0.5">
      <c r="CL336" s="6" cm="1">
        <f t="array" ref="CL336:CS341">_xlfn.ANCHORARRAY(CL274)+_xlfn.ANCHORARRAY(CL323)</f>
        <v>21.281037952916765</v>
      </c>
      <c r="CM336" s="6">
        <v>25.95629092658853</v>
      </c>
      <c r="CN336" s="6">
        <v>25.381119474416874</v>
      </c>
      <c r="CO336" s="6">
        <v>27.932999749041663</v>
      </c>
      <c r="CP336" s="6">
        <v>26.833933533123041</v>
      </c>
      <c r="CQ336" s="6">
        <v>26.286512423569171</v>
      </c>
      <c r="CR336" s="6">
        <v>22.126659717028172</v>
      </c>
      <c r="CS336" s="6">
        <v>21.035029019355118</v>
      </c>
      <c r="DS336"/>
      <c r="DT336"/>
      <c r="DU336"/>
      <c r="DV336"/>
      <c r="DW336"/>
      <c r="DX336"/>
      <c r="DY336"/>
      <c r="DZ336"/>
      <c r="EA336"/>
      <c r="EB336"/>
      <c r="EC336"/>
      <c r="ED336"/>
    </row>
    <row r="337" spans="79:114" x14ac:dyDescent="0.5">
      <c r="CL337" s="7">
        <v>12.053123805336181</v>
      </c>
      <c r="CM337" s="7">
        <v>12.296271993046423</v>
      </c>
      <c r="CN337" s="7">
        <v>12.800077792631605</v>
      </c>
      <c r="CO337" s="7">
        <v>13.599852736231172</v>
      </c>
      <c r="CP337" s="7">
        <v>12.815997138654939</v>
      </c>
      <c r="CQ337" s="7">
        <v>12.247713319678727</v>
      </c>
      <c r="CR337" s="7">
        <v>11.726544479588625</v>
      </c>
      <c r="CS337" s="7">
        <v>11.294009246493545</v>
      </c>
    </row>
    <row r="338" spans="79:114" x14ac:dyDescent="0.5">
      <c r="CL338" s="7">
        <v>14.976951252561189</v>
      </c>
      <c r="CM338" s="7">
        <v>11.460719743194158</v>
      </c>
      <c r="CN338" s="7">
        <v>16.458650327237557</v>
      </c>
      <c r="CO338" s="7">
        <v>18.040972845845058</v>
      </c>
      <c r="CP338" s="7">
        <v>12.118617375233155</v>
      </c>
      <c r="CQ338" s="7">
        <v>11.824192406653205</v>
      </c>
      <c r="CR338" s="7">
        <v>15.772764264868179</v>
      </c>
      <c r="CS338" s="7">
        <v>14.872419856466124</v>
      </c>
    </row>
    <row r="339" spans="79:114" x14ac:dyDescent="0.5">
      <c r="CL339" s="7">
        <v>15.151211316858067</v>
      </c>
      <c r="CM339" s="7">
        <v>19.251132200257508</v>
      </c>
      <c r="CN339" s="7">
        <v>17.482360999324449</v>
      </c>
      <c r="CO339" s="7">
        <v>21.111789573010235</v>
      </c>
      <c r="CP339" s="7">
        <v>17.910450218515095</v>
      </c>
      <c r="CQ339" s="7">
        <v>18.435451768348095</v>
      </c>
      <c r="CR339" s="7">
        <v>15.516740277464848</v>
      </c>
      <c r="CS339" s="7">
        <v>15.38134035822112</v>
      </c>
    </row>
    <row r="340" spans="79:114" x14ac:dyDescent="0.5">
      <c r="CL340" s="7">
        <v>-0.17166251304150926</v>
      </c>
      <c r="CM340" s="7">
        <v>1.0201016102447529</v>
      </c>
      <c r="CN340" s="7">
        <v>-0.750933153433051</v>
      </c>
      <c r="CO340" s="7">
        <v>-1.1021024921777522</v>
      </c>
      <c r="CP340" s="7">
        <v>0.5915203519142338</v>
      </c>
      <c r="CQ340" s="7">
        <v>0.63718144496240425</v>
      </c>
      <c r="CR340" s="7">
        <v>-0.62968986870948118</v>
      </c>
      <c r="CS340" s="7">
        <v>-0.57809695772154335</v>
      </c>
    </row>
    <row r="341" spans="79:114" x14ac:dyDescent="0.5">
      <c r="CL341" s="8">
        <v>16.540703799553555</v>
      </c>
      <c r="CM341" s="8">
        <v>13.454348851901692</v>
      </c>
      <c r="CN341" s="8">
        <v>19.037471268010886</v>
      </c>
      <c r="CO341" s="8">
        <v>18.243857638785833</v>
      </c>
      <c r="CP341" s="8">
        <v>17.69801069913332</v>
      </c>
      <c r="CQ341" s="8">
        <v>16.6321959478963</v>
      </c>
      <c r="CR341" s="8">
        <v>19.14383906626399</v>
      </c>
      <c r="CS341" s="8">
        <v>19.114673707341197</v>
      </c>
    </row>
    <row r="342" spans="79:114" x14ac:dyDescent="0.5">
      <c r="DC342" s="2"/>
      <c r="DD342" s="2"/>
      <c r="DE342" s="2"/>
      <c r="DF342" s="2"/>
      <c r="DG342" s="2"/>
      <c r="DH342" s="2"/>
      <c r="DI342" s="2"/>
      <c r="DJ342" s="2"/>
    </row>
    <row r="343" spans="79:114" x14ac:dyDescent="0.5">
      <c r="CK343" s="3" t="s">
        <v>1</v>
      </c>
      <c r="DC343" s="2"/>
      <c r="DD343" s="2"/>
      <c r="DE343" s="2"/>
      <c r="DI343" s="2"/>
      <c r="DJ343" s="2"/>
    </row>
    <row r="344" spans="79:114" x14ac:dyDescent="0.5">
      <c r="CL344" s="6" cm="1">
        <f t="array" ref="CL344:CL349">NORMALIZE(CL336:CL341)</f>
        <v>1.0985691619227063</v>
      </c>
      <c r="CM344" s="6" cm="1">
        <f t="array" ref="CM344:CM349">NORMALIZE(CM336:CM341)</f>
        <v>1.4429425506706213</v>
      </c>
      <c r="CN344" s="6" cm="1">
        <f t="array" ref="CN344:CN349">NORMALIZE(CN336:CN341)</f>
        <v>1.1747408771740042</v>
      </c>
      <c r="CO344" s="6" cm="1">
        <f t="array" ref="CO344:CO349">NORMALIZE(CO336:CO341)</f>
        <v>1.1924114442367695</v>
      </c>
      <c r="CP344" s="6" cm="1">
        <f t="array" ref="CP344:CP349">NORMALIZE(CP336:CP341)</f>
        <v>1.4039379055112031</v>
      </c>
      <c r="CQ344" s="6" cm="1">
        <f t="array" ref="CQ344:CQ349">NORMALIZE(CQ336:CQ341)</f>
        <v>1.4010361810942404</v>
      </c>
      <c r="CR344" s="6" cm="1">
        <f t="array" ref="CR344:CR349">NORMALIZE(CR336:CR341)</f>
        <v>1.0274842519738854</v>
      </c>
      <c r="CS344" s="6" cm="1">
        <f t="array" ref="CS344:CS349">NORMALIZE(CS336:CS341)</f>
        <v>0.97532025232779229</v>
      </c>
      <c r="DC344" s="2"/>
      <c r="DD344" s="2"/>
      <c r="DE344" s="2"/>
      <c r="DF344" s="2"/>
      <c r="DG344" s="2"/>
      <c r="DH344" s="2"/>
      <c r="DI344" s="2"/>
      <c r="DJ344" s="2"/>
    </row>
    <row r="345" spans="79:114" x14ac:dyDescent="0.5">
      <c r="CL345" s="7">
        <v>-0.17246180118184623</v>
      </c>
      <c r="CM345" s="7">
        <v>-0.19281909584160037</v>
      </c>
      <c r="CN345" s="7">
        <v>-0.25835047097338582</v>
      </c>
      <c r="CO345" s="7">
        <v>-0.27734815901864568</v>
      </c>
      <c r="CP345" s="7">
        <v>-0.21284524434243712</v>
      </c>
      <c r="CQ345" s="7">
        <v>-0.24590863084241305</v>
      </c>
      <c r="CR345" s="7">
        <v>-0.27825260117051553</v>
      </c>
      <c r="CS345" s="7">
        <v>-0.28887742403039668</v>
      </c>
      <c r="DC345" s="32"/>
      <c r="DD345" s="32"/>
      <c r="DE345" s="32"/>
      <c r="DF345" s="32"/>
      <c r="DG345" s="32"/>
      <c r="DH345" s="32"/>
      <c r="DI345" s="32"/>
      <c r="DJ345" s="32"/>
    </row>
    <row r="346" spans="79:114" x14ac:dyDescent="0.5">
      <c r="CL346" s="7">
        <v>0.2302592424650842</v>
      </c>
      <c r="CM346" s="7">
        <v>-0.29287491059667725</v>
      </c>
      <c r="CN346" s="7">
        <v>0.1583931324997932</v>
      </c>
      <c r="CO346" s="7">
        <v>0.17805629085421171</v>
      </c>
      <c r="CP346" s="7">
        <v>-0.2932787560106887</v>
      </c>
      <c r="CQ346" s="7">
        <v>-0.2955934767677858</v>
      </c>
      <c r="CR346" s="7">
        <v>0.22975122080081284</v>
      </c>
      <c r="CS346" s="7">
        <v>0.17553169161334287</v>
      </c>
    </row>
    <row r="347" spans="79:114" x14ac:dyDescent="0.5">
      <c r="CL347" s="7">
        <v>0.25426140956500165</v>
      </c>
      <c r="CM347" s="7">
        <v>0.64001236941171746</v>
      </c>
      <c r="CN347" s="7">
        <v>0.27500278568120573</v>
      </c>
      <c r="CO347" s="7">
        <v>0.49294613120500758</v>
      </c>
      <c r="CP347" s="7">
        <v>0.37473238944453746</v>
      </c>
      <c r="CQ347" s="7">
        <v>0.47999845424671478</v>
      </c>
      <c r="CR347" s="7">
        <v>0.1976073504677173</v>
      </c>
      <c r="CS347" s="7">
        <v>0.24157981909606827</v>
      </c>
      <c r="DC347" s="2"/>
      <c r="DD347" s="2"/>
      <c r="DE347" s="2"/>
      <c r="DF347" s="2"/>
      <c r="DG347" s="2"/>
      <c r="DH347" s="2"/>
      <c r="DI347" s="2"/>
      <c r="DJ347" s="2"/>
    </row>
    <row r="348" spans="79:114" x14ac:dyDescent="0.5">
      <c r="CL348" s="7">
        <v>-1.8562748145559245</v>
      </c>
      <c r="CM348" s="7">
        <v>-1.5431193495573616</v>
      </c>
      <c r="CN348" s="7">
        <v>-1.8019298530822394</v>
      </c>
      <c r="CO348" s="7">
        <v>-1.7849263527169563</v>
      </c>
      <c r="CP348" s="7">
        <v>-1.6227766014556668</v>
      </c>
      <c r="CQ348" s="7">
        <v>-1.6079841968066069</v>
      </c>
      <c r="CR348" s="7">
        <v>-1.8295806572847888</v>
      </c>
      <c r="CS348" s="7">
        <v>-1.8296492761377576</v>
      </c>
      <c r="DC348" s="2"/>
      <c r="DD348" s="2"/>
      <c r="DE348" s="2"/>
      <c r="DF348" s="2"/>
      <c r="DG348" s="2"/>
      <c r="DH348" s="2"/>
      <c r="DI348" s="2"/>
      <c r="DJ348" s="2"/>
    </row>
    <row r="349" spans="79:114" x14ac:dyDescent="0.5">
      <c r="CL349" s="8">
        <v>0.44564680178497829</v>
      </c>
      <c r="CM349" s="8">
        <v>-5.4141564086702128E-2</v>
      </c>
      <c r="CN349" s="8">
        <v>0.45214352870062263</v>
      </c>
      <c r="CO349" s="8">
        <v>0.19886064543961274</v>
      </c>
      <c r="CP349" s="8">
        <v>0.35023030685305112</v>
      </c>
      <c r="CQ349" s="8">
        <v>0.26845166907584878</v>
      </c>
      <c r="CR349" s="8">
        <v>0.65299043521288658</v>
      </c>
      <c r="CS349" s="8">
        <v>0.72609493713094941</v>
      </c>
      <c r="DJ349" s="2"/>
    </row>
    <row r="350" spans="79:114" x14ac:dyDescent="0.5">
      <c r="CA350" s="25" t="s">
        <v>41</v>
      </c>
      <c r="CB350" s="2"/>
      <c r="CC350" s="2"/>
      <c r="CD350" s="2"/>
      <c r="CE350" s="2"/>
      <c r="CF350" s="2"/>
      <c r="CG350" s="2"/>
      <c r="CL350" s="2">
        <v>1</v>
      </c>
      <c r="CM350" s="2">
        <v>1</v>
      </c>
      <c r="CN350" s="2">
        <v>1</v>
      </c>
      <c r="CO350" s="2">
        <v>1</v>
      </c>
      <c r="CP350" s="2">
        <v>1</v>
      </c>
      <c r="CQ350" s="2">
        <v>1</v>
      </c>
      <c r="CR350" s="2">
        <v>1</v>
      </c>
      <c r="CS350" s="2">
        <v>1</v>
      </c>
      <c r="DJ350" s="2"/>
    </row>
    <row r="351" spans="79:114" x14ac:dyDescent="0.5">
      <c r="CA351" s="3" t="s">
        <v>42</v>
      </c>
      <c r="CB351" s="2"/>
      <c r="CC351" s="2"/>
      <c r="CD351" s="2"/>
      <c r="CE351" s="2"/>
      <c r="CF351" s="2"/>
      <c r="CG351" s="3" t="s">
        <v>43</v>
      </c>
      <c r="CL351" s="2" t="s">
        <v>27</v>
      </c>
      <c r="CM351" s="2" t="s">
        <v>27</v>
      </c>
      <c r="CN351" s="2" t="s">
        <v>27</v>
      </c>
      <c r="CO351" s="2" t="s">
        <v>27</v>
      </c>
      <c r="CP351" s="2" t="s">
        <v>27</v>
      </c>
      <c r="CQ351" s="2" t="s">
        <v>27</v>
      </c>
      <c r="CR351" s="2" t="s">
        <v>27</v>
      </c>
      <c r="CS351" s="2" t="s">
        <v>27</v>
      </c>
      <c r="DJ351" s="2"/>
    </row>
    <row r="352" spans="79:114" x14ac:dyDescent="0.5">
      <c r="CA352" s="16">
        <v>1</v>
      </c>
      <c r="CB352" s="33">
        <v>0</v>
      </c>
      <c r="CC352" s="33">
        <v>0</v>
      </c>
      <c r="CD352" s="33">
        <v>0</v>
      </c>
      <c r="CE352" s="33">
        <v>0</v>
      </c>
      <c r="CF352" s="33">
        <v>0</v>
      </c>
      <c r="CG352" s="34">
        <v>2</v>
      </c>
      <c r="CH352" s="2" t="s">
        <v>28</v>
      </c>
      <c r="CL352" s="6" cm="1">
        <f t="array" ref="CL352:CS357">MMULT($CA352:$CG357,CL344:CS350)</f>
        <v>3.0985691619227063</v>
      </c>
      <c r="CM352" s="6">
        <v>3.4429425506706215</v>
      </c>
      <c r="CN352" s="6">
        <v>3.1747408771740044</v>
      </c>
      <c r="CO352" s="6">
        <v>3.1924114442367695</v>
      </c>
      <c r="CP352" s="6">
        <v>3.4039379055112029</v>
      </c>
      <c r="CQ352" s="6">
        <v>3.4010361810942404</v>
      </c>
      <c r="CR352" s="6">
        <v>3.0274842519738856</v>
      </c>
      <c r="CS352" s="6">
        <v>2.9753202523277924</v>
      </c>
      <c r="DJ352" s="2"/>
    </row>
    <row r="353" spans="77:114" x14ac:dyDescent="0.5">
      <c r="CA353" s="38">
        <v>0</v>
      </c>
      <c r="CB353" s="20">
        <v>2</v>
      </c>
      <c r="CC353" s="2">
        <v>0</v>
      </c>
      <c r="CD353" s="2">
        <v>0</v>
      </c>
      <c r="CE353" s="2">
        <v>0</v>
      </c>
      <c r="CF353" s="2">
        <v>0</v>
      </c>
      <c r="CG353" s="39">
        <v>3</v>
      </c>
      <c r="CH353" s="2" t="s">
        <v>28</v>
      </c>
      <c r="CL353" s="7">
        <v>2.6550763976363077</v>
      </c>
      <c r="CM353" s="7">
        <v>2.6143618083167994</v>
      </c>
      <c r="CN353" s="7">
        <v>2.4832990580532286</v>
      </c>
      <c r="CO353" s="7">
        <v>2.4453036819627085</v>
      </c>
      <c r="CP353" s="7">
        <v>2.5743095113151258</v>
      </c>
      <c r="CQ353" s="7">
        <v>2.508182738315174</v>
      </c>
      <c r="CR353" s="7">
        <v>2.4434947976589689</v>
      </c>
      <c r="CS353" s="7">
        <v>2.4222451519392068</v>
      </c>
      <c r="DJ353" s="2"/>
    </row>
    <row r="354" spans="77:114" x14ac:dyDescent="0.5">
      <c r="CA354" s="38">
        <v>0</v>
      </c>
      <c r="CB354" s="2">
        <v>0</v>
      </c>
      <c r="CC354" s="20">
        <v>4</v>
      </c>
      <c r="CD354" s="2">
        <v>0</v>
      </c>
      <c r="CE354" s="2">
        <v>0</v>
      </c>
      <c r="CF354" s="2">
        <v>0</v>
      </c>
      <c r="CG354" s="39">
        <v>0</v>
      </c>
      <c r="CH354" s="2" t="s">
        <v>28</v>
      </c>
      <c r="CL354" s="7">
        <v>0.92103696986033678</v>
      </c>
      <c r="CM354" s="7">
        <v>-1.171499642386709</v>
      </c>
      <c r="CN354" s="7">
        <v>0.6335725299991728</v>
      </c>
      <c r="CO354" s="7">
        <v>0.71222516341684683</v>
      </c>
      <c r="CP354" s="7">
        <v>-1.1731150240427548</v>
      </c>
      <c r="CQ354" s="7">
        <v>-1.1823739070711432</v>
      </c>
      <c r="CR354" s="7">
        <v>0.91900488320325135</v>
      </c>
      <c r="CS354" s="7">
        <v>0.70212676645337146</v>
      </c>
      <c r="DJ354" s="2"/>
    </row>
    <row r="355" spans="77:114" x14ac:dyDescent="0.5">
      <c r="CA355" s="38">
        <v>0</v>
      </c>
      <c r="CB355" s="2">
        <v>0</v>
      </c>
      <c r="CC355" s="2">
        <v>0</v>
      </c>
      <c r="CD355" s="20">
        <v>5</v>
      </c>
      <c r="CE355" s="2">
        <v>0</v>
      </c>
      <c r="CF355" s="2">
        <v>0</v>
      </c>
      <c r="CG355" s="39">
        <v>1</v>
      </c>
      <c r="CH355" s="2" t="s">
        <v>28</v>
      </c>
      <c r="CL355" s="7">
        <v>2.2713070478250081</v>
      </c>
      <c r="CM355" s="7">
        <v>4.2000618470585875</v>
      </c>
      <c r="CN355" s="7">
        <v>2.3750139284060285</v>
      </c>
      <c r="CO355" s="7">
        <v>3.4647306560250377</v>
      </c>
      <c r="CP355" s="7">
        <v>2.8736619472226872</v>
      </c>
      <c r="CQ355" s="7">
        <v>3.3999922712335739</v>
      </c>
      <c r="CR355" s="7">
        <v>1.9880367523385865</v>
      </c>
      <c r="CS355" s="7">
        <v>2.2078990954803412</v>
      </c>
      <c r="DJ355" s="2"/>
    </row>
    <row r="356" spans="77:114" x14ac:dyDescent="0.5">
      <c r="CA356" s="38">
        <v>0</v>
      </c>
      <c r="CB356" s="2">
        <v>0</v>
      </c>
      <c r="CC356" s="2">
        <v>0</v>
      </c>
      <c r="CD356" s="2">
        <v>0</v>
      </c>
      <c r="CE356" s="20">
        <v>4</v>
      </c>
      <c r="CF356" s="2">
        <v>0</v>
      </c>
      <c r="CG356" s="39">
        <v>4</v>
      </c>
      <c r="CH356" s="2" t="s">
        <v>28</v>
      </c>
      <c r="CL356" s="7">
        <v>-3.4250992582236979</v>
      </c>
      <c r="CM356" s="7">
        <v>-2.1724773982294465</v>
      </c>
      <c r="CN356" s="7">
        <v>-3.2077194123289576</v>
      </c>
      <c r="CO356" s="7">
        <v>-3.1397054108678253</v>
      </c>
      <c r="CP356" s="7">
        <v>-2.4911064058226673</v>
      </c>
      <c r="CQ356" s="7">
        <v>-2.4319367872264275</v>
      </c>
      <c r="CR356" s="7">
        <v>-3.3183226291391552</v>
      </c>
      <c r="CS356" s="7">
        <v>-3.3185971045510305</v>
      </c>
      <c r="DJ356" s="2"/>
    </row>
    <row r="357" spans="77:114" x14ac:dyDescent="0.5">
      <c r="CA357" s="40">
        <v>0</v>
      </c>
      <c r="CB357" s="41">
        <v>0</v>
      </c>
      <c r="CC357" s="41">
        <v>0</v>
      </c>
      <c r="CD357" s="41">
        <v>0</v>
      </c>
      <c r="CE357" s="41">
        <v>0</v>
      </c>
      <c r="CF357" s="23">
        <v>5</v>
      </c>
      <c r="CG357" s="42">
        <v>2</v>
      </c>
      <c r="CH357" s="2" t="s">
        <v>28</v>
      </c>
      <c r="CL357" s="8">
        <v>4.2282340089248915</v>
      </c>
      <c r="CM357" s="8">
        <v>1.7292921795664893</v>
      </c>
      <c r="CN357" s="8">
        <v>4.2607176435031135</v>
      </c>
      <c r="CO357" s="8">
        <v>2.9943032271980634</v>
      </c>
      <c r="CP357" s="8">
        <v>3.7511515342652557</v>
      </c>
      <c r="CQ357" s="8">
        <v>3.3422583453792436</v>
      </c>
      <c r="CR357" s="8">
        <v>5.2649521760644333</v>
      </c>
      <c r="CS357" s="8">
        <v>5.6304746856547467</v>
      </c>
    </row>
    <row r="358" spans="77:114" x14ac:dyDescent="0.5">
      <c r="CL358" s="2">
        <v>1</v>
      </c>
      <c r="CM358" s="2">
        <v>1</v>
      </c>
      <c r="CN358" s="2">
        <v>1</v>
      </c>
      <c r="CO358" s="2">
        <v>1</v>
      </c>
      <c r="CP358" s="2">
        <v>1</v>
      </c>
      <c r="CQ358" s="2">
        <v>1</v>
      </c>
      <c r="CR358" s="2">
        <v>1</v>
      </c>
      <c r="CS358" s="2">
        <v>1</v>
      </c>
    </row>
    <row r="359" spans="77:114" x14ac:dyDescent="0.5">
      <c r="CL359" s="2" t="s">
        <v>27</v>
      </c>
      <c r="CM359" s="2" t="s">
        <v>27</v>
      </c>
      <c r="CN359" s="2" t="s">
        <v>27</v>
      </c>
      <c r="CO359" s="2" t="s">
        <v>27</v>
      </c>
      <c r="CP359" s="2" t="s">
        <v>27</v>
      </c>
      <c r="CQ359" s="2" t="s">
        <v>27</v>
      </c>
      <c r="CR359" s="2" t="s">
        <v>27</v>
      </c>
      <c r="CS359" s="2" t="s">
        <v>27</v>
      </c>
    </row>
    <row r="364" spans="77:114" x14ac:dyDescent="0.5">
      <c r="CL364" s="4" t="s">
        <v>49</v>
      </c>
    </row>
    <row r="367" spans="77:114" x14ac:dyDescent="0.5">
      <c r="BY367" s="2" cm="1">
        <f t="array" ref="BY367:BY390">_xlfn.SEQUENCE(24,1,0)</f>
        <v>0</v>
      </c>
      <c r="BZ367" s="2"/>
      <c r="CA367" s="16">
        <v>0</v>
      </c>
      <c r="CB367" s="17">
        <v>2</v>
      </c>
      <c r="CC367" s="17">
        <v>0</v>
      </c>
      <c r="CD367" s="17">
        <v>0</v>
      </c>
      <c r="CE367" s="17">
        <v>1</v>
      </c>
      <c r="CF367" s="17">
        <v>1</v>
      </c>
      <c r="CG367" s="34">
        <v>0</v>
      </c>
      <c r="CH367" s="2" t="s">
        <v>28</v>
      </c>
      <c r="CL367" s="6" cm="1">
        <f t="array" ref="CL367:CS390">MMULT($CA367:$CG390,CL352:CS358)</f>
        <v>6.113287545973809</v>
      </c>
      <c r="CM367" s="6">
        <v>4.7855383979706421</v>
      </c>
      <c r="CN367" s="6">
        <v>6.0195963472806131</v>
      </c>
      <c r="CO367" s="6">
        <v>4.7452051802556552</v>
      </c>
      <c r="CP367" s="6">
        <v>6.4086641510728395</v>
      </c>
      <c r="CQ367" s="6">
        <v>5.9266870347831642</v>
      </c>
      <c r="CR367" s="6">
        <v>6.833619142243216</v>
      </c>
      <c r="CS367" s="6">
        <v>7.1563678849821297</v>
      </c>
    </row>
    <row r="368" spans="77:114" x14ac:dyDescent="0.5">
      <c r="BY368" s="2">
        <v>1</v>
      </c>
      <c r="BZ368" s="2"/>
      <c r="CA368" s="19">
        <v>1</v>
      </c>
      <c r="CB368" s="20">
        <v>0</v>
      </c>
      <c r="CC368" s="20">
        <v>-1</v>
      </c>
      <c r="CD368" s="20">
        <v>-2</v>
      </c>
      <c r="CE368" s="20">
        <v>0</v>
      </c>
      <c r="CF368" s="20">
        <v>1</v>
      </c>
      <c r="CG368" s="39">
        <v>-3</v>
      </c>
      <c r="CH368" s="2" t="s">
        <v>28</v>
      </c>
      <c r="CL368" s="7">
        <v>-1.1368478946627554</v>
      </c>
      <c r="CM368" s="7">
        <v>-5.0563893214933557</v>
      </c>
      <c r="CN368" s="7">
        <v>-0.94814186613411167</v>
      </c>
      <c r="CO368" s="7">
        <v>-4.4549718040320894</v>
      </c>
      <c r="CP368" s="7">
        <v>-0.41911943062616119</v>
      </c>
      <c r="CQ368" s="7">
        <v>-1.8743161089225211</v>
      </c>
      <c r="CR368" s="7">
        <v>0.39735804015789489</v>
      </c>
      <c r="CS368" s="7">
        <v>0.48786998056848496</v>
      </c>
    </row>
    <row r="369" spans="77:132" x14ac:dyDescent="0.5">
      <c r="BY369" s="2">
        <v>2</v>
      </c>
      <c r="BZ369" s="2"/>
      <c r="CA369" s="19">
        <v>-1</v>
      </c>
      <c r="CB369" s="20">
        <v>2</v>
      </c>
      <c r="CC369" s="20">
        <v>-1</v>
      </c>
      <c r="CD369" s="20">
        <v>-2</v>
      </c>
      <c r="CE369" s="20">
        <v>-2</v>
      </c>
      <c r="CF369" s="20">
        <v>0</v>
      </c>
      <c r="CG369" s="39">
        <v>0</v>
      </c>
      <c r="CH369" s="2" t="s">
        <v>28</v>
      </c>
      <c r="CL369" s="7">
        <v>3.5981310842869516</v>
      </c>
      <c r="CM369" s="7">
        <v>-1.0978881893085957</v>
      </c>
      <c r="CN369" s="7">
        <v>2.8236956767791384</v>
      </c>
      <c r="CO369" s="7">
        <v>0.3359202659573759</v>
      </c>
      <c r="CP369" s="7">
        <v>2.1526850583617634</v>
      </c>
      <c r="CQ369" s="7">
        <v>0.86159223459295831</v>
      </c>
      <c r="CR369" s="7">
        <v>3.6010722137419382</v>
      </c>
      <c r="CS369" s="7">
        <v>3.388439303238628</v>
      </c>
    </row>
    <row r="370" spans="77:132" x14ac:dyDescent="0.5">
      <c r="BY370" s="2">
        <v>3</v>
      </c>
      <c r="BZ370" s="2"/>
      <c r="CA370" s="19">
        <v>1</v>
      </c>
      <c r="CB370" s="20">
        <v>0</v>
      </c>
      <c r="CC370" s="20">
        <v>0</v>
      </c>
      <c r="CD370" s="20">
        <v>1</v>
      </c>
      <c r="CE370" s="20">
        <v>0</v>
      </c>
      <c r="CF370" s="20">
        <v>1</v>
      </c>
      <c r="CG370" s="39">
        <v>-4</v>
      </c>
      <c r="CH370" s="2" t="s">
        <v>28</v>
      </c>
      <c r="CL370" s="7">
        <v>5.5981102186726055</v>
      </c>
      <c r="CM370" s="7">
        <v>5.3722965772956979</v>
      </c>
      <c r="CN370" s="7">
        <v>5.8104724490831465</v>
      </c>
      <c r="CO370" s="7">
        <v>5.6514453274598715</v>
      </c>
      <c r="CP370" s="7">
        <v>6.0287513869991454</v>
      </c>
      <c r="CQ370" s="7">
        <v>6.1432867977070593</v>
      </c>
      <c r="CR370" s="7">
        <v>6.2804731803769052</v>
      </c>
      <c r="CS370" s="7">
        <v>6.8136940334628804</v>
      </c>
    </row>
    <row r="371" spans="77:132" x14ac:dyDescent="0.5">
      <c r="BY371" s="2">
        <v>4</v>
      </c>
      <c r="BZ371" s="2"/>
      <c r="CA371" s="19">
        <v>0</v>
      </c>
      <c r="CB371" s="20">
        <v>1</v>
      </c>
      <c r="CC371" s="20">
        <v>-2</v>
      </c>
      <c r="CD371" s="20">
        <v>0</v>
      </c>
      <c r="CE371" s="20">
        <v>0</v>
      </c>
      <c r="CF371" s="20">
        <v>0</v>
      </c>
      <c r="CG371" s="39">
        <v>0</v>
      </c>
      <c r="CH371" s="2" t="s">
        <v>28</v>
      </c>
      <c r="CL371" s="7">
        <v>0.81300245791563408</v>
      </c>
      <c r="CM371" s="7">
        <v>4.957361093090217</v>
      </c>
      <c r="CN371" s="7">
        <v>1.216153998054883</v>
      </c>
      <c r="CO371" s="7">
        <v>1.0208533551290149</v>
      </c>
      <c r="CP371" s="7">
        <v>4.9205395594006358</v>
      </c>
      <c r="CQ371" s="7">
        <v>4.8729305524574604</v>
      </c>
      <c r="CR371" s="7">
        <v>0.60548503125246622</v>
      </c>
      <c r="CS371" s="7">
        <v>1.0179916190324638</v>
      </c>
    </row>
    <row r="372" spans="77:132" x14ac:dyDescent="0.5">
      <c r="BY372" s="2">
        <v>5</v>
      </c>
      <c r="BZ372" s="2"/>
      <c r="CA372" s="19">
        <v>-2</v>
      </c>
      <c r="CB372" s="20">
        <v>-1</v>
      </c>
      <c r="CC372" s="20">
        <v>0</v>
      </c>
      <c r="CD372" s="20">
        <v>1</v>
      </c>
      <c r="CE372" s="20">
        <v>-2</v>
      </c>
      <c r="CF372" s="20">
        <v>1</v>
      </c>
      <c r="CG372" s="39">
        <v>2</v>
      </c>
      <c r="CH372" s="2" t="s">
        <v>28</v>
      </c>
      <c r="CL372" s="7">
        <v>6.4975248517155748</v>
      </c>
      <c r="CM372" s="7">
        <v>2.7740619134259279</v>
      </c>
      <c r="CN372" s="7">
        <v>6.2183895841658199</v>
      </c>
      <c r="CO372" s="7">
        <v>5.9083181345225046</v>
      </c>
      <c r="CP372" s="7">
        <v>4.2248409707957464</v>
      </c>
      <c r="CQ372" s="7">
        <v>4.2958690905620172</v>
      </c>
      <c r="CR372" s="7">
        <v>7.3911708850745894</v>
      </c>
      <c r="CS372" s="7">
        <v>8.1026823336423579</v>
      </c>
    </row>
    <row r="373" spans="77:132" x14ac:dyDescent="0.5">
      <c r="BY373" s="2">
        <v>6</v>
      </c>
      <c r="BZ373" s="2"/>
      <c r="CA373" s="19">
        <v>0</v>
      </c>
      <c r="CB373" s="20">
        <v>2</v>
      </c>
      <c r="CC373" s="20">
        <v>1</v>
      </c>
      <c r="CD373" s="20">
        <v>-2</v>
      </c>
      <c r="CE373" s="20">
        <v>0</v>
      </c>
      <c r="CF373" s="20">
        <v>0</v>
      </c>
      <c r="CG373" s="39">
        <v>0</v>
      </c>
      <c r="CH373" s="2" t="s">
        <v>28</v>
      </c>
      <c r="CL373" s="7">
        <v>1.6885756694829359</v>
      </c>
      <c r="CM373" s="7">
        <v>-4.3428997198702852</v>
      </c>
      <c r="CN373" s="7">
        <v>0.85014278929357268</v>
      </c>
      <c r="CO373" s="7">
        <v>-1.326628784707812</v>
      </c>
      <c r="CP373" s="7">
        <v>-1.7718198958578775</v>
      </c>
      <c r="CQ373" s="7">
        <v>-2.9659929729079431</v>
      </c>
      <c r="CR373" s="7">
        <v>1.8299209738440161</v>
      </c>
      <c r="CS373" s="7">
        <v>1.1308188793711027</v>
      </c>
    </row>
    <row r="374" spans="77:132" x14ac:dyDescent="0.5">
      <c r="BY374" s="2">
        <v>7</v>
      </c>
      <c r="BZ374" s="2"/>
      <c r="CA374" s="19">
        <v>-2</v>
      </c>
      <c r="CB374" s="20">
        <v>0</v>
      </c>
      <c r="CC374" s="20">
        <v>1</v>
      </c>
      <c r="CD374" s="20">
        <v>0</v>
      </c>
      <c r="CE374" s="20">
        <v>0</v>
      </c>
      <c r="CF374" s="20">
        <v>1</v>
      </c>
      <c r="CG374" s="39">
        <v>-1</v>
      </c>
      <c r="CH374" s="2" t="s">
        <v>28</v>
      </c>
      <c r="CL374" s="7">
        <v>-2.0478673450601841</v>
      </c>
      <c r="CM374" s="7">
        <v>-7.3280925641614623</v>
      </c>
      <c r="CN374" s="7">
        <v>-2.4551915808457228</v>
      </c>
      <c r="CO374" s="7">
        <v>-3.6782944978586283</v>
      </c>
      <c r="CP374" s="7">
        <v>-5.2298393007999042</v>
      </c>
      <c r="CQ374" s="7">
        <v>-5.6421879238803809</v>
      </c>
      <c r="CR374" s="7">
        <v>-0.87101144468008673</v>
      </c>
      <c r="CS374" s="7">
        <v>-0.61803905254746638</v>
      </c>
    </row>
    <row r="375" spans="77:132" x14ac:dyDescent="0.5">
      <c r="BY375" s="2">
        <v>8</v>
      </c>
      <c r="BZ375" s="2"/>
      <c r="CA375" s="19">
        <v>1</v>
      </c>
      <c r="CB375" s="20">
        <v>-1</v>
      </c>
      <c r="CC375" s="20">
        <v>2</v>
      </c>
      <c r="CD375" s="20">
        <v>-1</v>
      </c>
      <c r="CE375" s="20">
        <v>0</v>
      </c>
      <c r="CF375" s="20">
        <v>0</v>
      </c>
      <c r="CG375" s="39">
        <v>0</v>
      </c>
      <c r="CH375" s="2" t="s">
        <v>28</v>
      </c>
      <c r="CL375" s="7">
        <v>1.4259656182064262E-2</v>
      </c>
      <c r="CM375" s="7">
        <v>-5.714480389478183</v>
      </c>
      <c r="CN375" s="7">
        <v>-0.4164270492869071</v>
      </c>
      <c r="CO375" s="7">
        <v>-1.2931725669172831</v>
      </c>
      <c r="CP375" s="7">
        <v>-4.3902636011121192</v>
      </c>
      <c r="CQ375" s="7">
        <v>-4.8718866425967935</v>
      </c>
      <c r="CR375" s="7">
        <v>0.43396246838283292</v>
      </c>
      <c r="CS375" s="7">
        <v>-0.25057046218501267</v>
      </c>
    </row>
    <row r="376" spans="77:132" x14ac:dyDescent="0.5">
      <c r="BY376" s="2">
        <v>9</v>
      </c>
      <c r="BZ376" s="2"/>
      <c r="CA376" s="19">
        <v>1</v>
      </c>
      <c r="CB376" s="20">
        <v>-1</v>
      </c>
      <c r="CC376" s="20">
        <v>-1</v>
      </c>
      <c r="CD376" s="20">
        <v>0</v>
      </c>
      <c r="CE376" s="20">
        <v>-1</v>
      </c>
      <c r="CF376" s="20">
        <v>0</v>
      </c>
      <c r="CG376" s="39">
        <v>-1</v>
      </c>
      <c r="CH376" s="2" t="s">
        <v>28</v>
      </c>
      <c r="CL376" s="7">
        <v>1.9475550526497596</v>
      </c>
      <c r="CM376" s="7">
        <v>3.172557782969978</v>
      </c>
      <c r="CN376" s="7">
        <v>2.2655887014505609</v>
      </c>
      <c r="CO376" s="7">
        <v>2.1745880097250394</v>
      </c>
      <c r="CP376" s="7">
        <v>3.493849824061499</v>
      </c>
      <c r="CQ376" s="7">
        <v>3.5071641370766375</v>
      </c>
      <c r="CR376" s="7">
        <v>1.9833072002508203</v>
      </c>
      <c r="CS376" s="7">
        <v>2.1695454384862449</v>
      </c>
      <c r="DA376" s="4"/>
    </row>
    <row r="377" spans="77:132" x14ac:dyDescent="0.5">
      <c r="BY377" s="2">
        <v>10</v>
      </c>
      <c r="BZ377" s="2"/>
      <c r="CA377" s="19">
        <v>1</v>
      </c>
      <c r="CB377" s="20">
        <v>0</v>
      </c>
      <c r="CC377" s="20">
        <v>2</v>
      </c>
      <c r="CD377" s="20">
        <v>1</v>
      </c>
      <c r="CE377" s="20">
        <v>-2</v>
      </c>
      <c r="CF377" s="20">
        <v>0</v>
      </c>
      <c r="CG377" s="39">
        <v>0</v>
      </c>
      <c r="CH377" s="2" t="s">
        <v>28</v>
      </c>
      <c r="CL377" s="7">
        <v>14.062148665915783</v>
      </c>
      <c r="CM377" s="7">
        <v>9.6449599094146841</v>
      </c>
      <c r="CN377" s="7">
        <v>13.232338690236293</v>
      </c>
      <c r="CO377" s="7">
        <v>14.361003248831151</v>
      </c>
      <c r="CP377" s="7">
        <v>8.9135826162937146</v>
      </c>
      <c r="CQ377" s="7">
        <v>9.3001542126383825</v>
      </c>
      <c r="CR377" s="7">
        <v>13.490176028997286</v>
      </c>
      <c r="CS377" s="7">
        <v>13.224667089816938</v>
      </c>
      <c r="DT377" s="2"/>
      <c r="EB377" s="2"/>
    </row>
    <row r="378" spans="77:132" x14ac:dyDescent="0.5">
      <c r="BY378" s="2">
        <v>11</v>
      </c>
      <c r="BZ378" s="2"/>
      <c r="CA378" s="19">
        <v>0</v>
      </c>
      <c r="CB378" s="20">
        <v>0</v>
      </c>
      <c r="CC378" s="20">
        <v>1</v>
      </c>
      <c r="CD378" s="20">
        <v>-2</v>
      </c>
      <c r="CE378" s="20">
        <v>1</v>
      </c>
      <c r="CF378" s="20">
        <v>1</v>
      </c>
      <c r="CG378" s="39">
        <v>2</v>
      </c>
      <c r="CH378" s="2" t="s">
        <v>28</v>
      </c>
      <c r="CL378" s="7">
        <v>-0.81844237508848572</v>
      </c>
      <c r="CM378" s="7">
        <v>-8.0148085551668409</v>
      </c>
      <c r="CN378" s="7">
        <v>-1.0634570956387286</v>
      </c>
      <c r="CO378" s="7">
        <v>-4.3626383323029891</v>
      </c>
      <c r="CP378" s="7">
        <v>-3.660393790045541</v>
      </c>
      <c r="CQ378" s="7">
        <v>-5.0720368913854754</v>
      </c>
      <c r="CR378" s="7">
        <v>0.88956092545135679</v>
      </c>
      <c r="CS378" s="7">
        <v>0.59820615659640541</v>
      </c>
      <c r="DT378" s="2"/>
      <c r="EB378" s="2"/>
    </row>
    <row r="379" spans="77:132" x14ac:dyDescent="0.5">
      <c r="BY379" s="2">
        <v>12</v>
      </c>
      <c r="BZ379" s="2"/>
      <c r="CA379" s="19">
        <v>2</v>
      </c>
      <c r="CB379" s="20">
        <v>0</v>
      </c>
      <c r="CC379" s="20">
        <v>2</v>
      </c>
      <c r="CD379" s="20">
        <v>1</v>
      </c>
      <c r="CE379" s="20">
        <v>2</v>
      </c>
      <c r="CF379" s="20">
        <v>0</v>
      </c>
      <c r="CG379" s="39">
        <v>0</v>
      </c>
      <c r="CH379" s="2" t="s">
        <v>28</v>
      </c>
      <c r="CL379" s="7">
        <v>3.4603207949436978</v>
      </c>
      <c r="CM379" s="7">
        <v>4.3979928671675204</v>
      </c>
      <c r="CN379" s="7">
        <v>3.5762019180944673</v>
      </c>
      <c r="CO379" s="7">
        <v>4.9945930495966202</v>
      </c>
      <c r="CP379" s="7">
        <v>2.3530948985142492</v>
      </c>
      <c r="CQ379" s="7">
        <v>2.9734432448269139</v>
      </c>
      <c r="CR379" s="7">
        <v>3.2443697644145502</v>
      </c>
      <c r="CS379" s="7">
        <v>2.9255989239406084</v>
      </c>
      <c r="DT379" s="2"/>
      <c r="EB379" s="2"/>
    </row>
    <row r="380" spans="77:132" x14ac:dyDescent="0.5">
      <c r="BY380" s="2">
        <v>13</v>
      </c>
      <c r="BZ380" s="2"/>
      <c r="CA380" s="19">
        <v>0</v>
      </c>
      <c r="CB380" s="20">
        <v>0</v>
      </c>
      <c r="CC380" s="20">
        <v>2</v>
      </c>
      <c r="CD380" s="20">
        <v>-2</v>
      </c>
      <c r="CE380" s="20">
        <v>1</v>
      </c>
      <c r="CF380" s="20">
        <v>2</v>
      </c>
      <c r="CG380" s="39">
        <v>0</v>
      </c>
      <c r="CH380" s="2" t="s">
        <v>28</v>
      </c>
      <c r="CL380" s="7">
        <v>2.3308286036967427</v>
      </c>
      <c r="CM380" s="7">
        <v>-9.4570160179870619</v>
      </c>
      <c r="CN380" s="7">
        <v>1.8308330778635575</v>
      </c>
      <c r="CO380" s="7">
        <v>-2.6561099416880793</v>
      </c>
      <c r="CP380" s="7">
        <v>-3.0823572798230403</v>
      </c>
      <c r="CQ380" s="7">
        <v>-4.9121524530773737</v>
      </c>
      <c r="CR380" s="7">
        <v>5.0735179847190413</v>
      </c>
      <c r="CS380" s="7">
        <v>4.9308076087045229</v>
      </c>
      <c r="DT380" s="2"/>
      <c r="EB380" s="2"/>
    </row>
    <row r="381" spans="77:132" x14ac:dyDescent="0.5">
      <c r="BY381" s="2">
        <v>14</v>
      </c>
      <c r="BZ381" s="2"/>
      <c r="CA381" s="19">
        <v>2</v>
      </c>
      <c r="CB381" s="20">
        <v>1</v>
      </c>
      <c r="CC381" s="20">
        <v>-2</v>
      </c>
      <c r="CD381" s="20">
        <v>-2</v>
      </c>
      <c r="CE381" s="20">
        <v>0</v>
      </c>
      <c r="CF381" s="20">
        <v>-2</v>
      </c>
      <c r="CG381" s="39">
        <v>1</v>
      </c>
      <c r="CH381" s="2" t="s">
        <v>28</v>
      </c>
      <c r="CL381" s="7">
        <v>-4.9889413317387525</v>
      </c>
      <c r="CM381" s="7">
        <v>0.98453814118130634</v>
      </c>
      <c r="CN381" s="7">
        <v>-4.7058273914153919</v>
      </c>
      <c r="CO381" s="7">
        <v>-4.5123915228436484</v>
      </c>
      <c r="CP381" s="7">
        <v>-0.52121159255284599</v>
      </c>
      <c r="CQ381" s="7">
        <v>-0.80949831857969468</v>
      </c>
      <c r="CR381" s="7">
        <v>-6.8455243216058008</v>
      </c>
      <c r="CS381" s="7">
        <v>-7.7081154385821282</v>
      </c>
      <c r="DT381" s="2"/>
      <c r="EB381" s="2"/>
    </row>
    <row r="382" spans="77:132" x14ac:dyDescent="0.5">
      <c r="BY382" s="2">
        <v>15</v>
      </c>
      <c r="BZ382" s="2"/>
      <c r="CA382" s="19">
        <v>2</v>
      </c>
      <c r="CB382" s="20">
        <v>-2</v>
      </c>
      <c r="CC382" s="20">
        <v>2</v>
      </c>
      <c r="CD382" s="20">
        <v>0</v>
      </c>
      <c r="CE382" s="20">
        <v>-2</v>
      </c>
      <c r="CF382" s="20">
        <v>1</v>
      </c>
      <c r="CG382" s="39">
        <v>0</v>
      </c>
      <c r="CH382" s="2" t="s">
        <v>28</v>
      </c>
      <c r="CL382" s="7">
        <v>13.807491993665758</v>
      </c>
      <c r="CM382" s="7">
        <v>5.3884091759596089</v>
      </c>
      <c r="CN382" s="7">
        <v>13.326185166400926</v>
      </c>
      <c r="CO382" s="7">
        <v>12.19237990031553</v>
      </c>
      <c r="CP382" s="7">
        <v>8.0463910862172359</v>
      </c>
      <c r="CQ382" s="7">
        <v>7.627090991247945</v>
      </c>
      <c r="CR382" s="7">
        <v>14.90758610937908</v>
      </c>
      <c r="CS382" s="7">
        <v>14.778072628440722</v>
      </c>
      <c r="DT382" s="2"/>
      <c r="EB382" s="2"/>
    </row>
    <row r="383" spans="77:132" x14ac:dyDescent="0.5">
      <c r="BY383" s="2">
        <v>16</v>
      </c>
      <c r="BZ383" s="2"/>
      <c r="CA383" s="19">
        <v>0</v>
      </c>
      <c r="CB383" s="20">
        <v>1</v>
      </c>
      <c r="CC383" s="20">
        <v>-1</v>
      </c>
      <c r="CD383" s="20">
        <v>0</v>
      </c>
      <c r="CE383" s="20">
        <v>2</v>
      </c>
      <c r="CF383" s="20">
        <v>-1</v>
      </c>
      <c r="CG383" s="39">
        <v>0</v>
      </c>
      <c r="CH383" s="2" t="s">
        <v>28</v>
      </c>
      <c r="CL383" s="7">
        <v>-9.344393097596317</v>
      </c>
      <c r="CM383" s="7">
        <v>-2.2883855253218739</v>
      </c>
      <c r="CN383" s="7">
        <v>-8.8264299401069728</v>
      </c>
      <c r="CO383" s="7">
        <v>-7.5406355303878527</v>
      </c>
      <c r="CP383" s="7">
        <v>-4.9859398105527095</v>
      </c>
      <c r="CQ383" s="7">
        <v>-4.5155752744457818</v>
      </c>
      <c r="CR383" s="7">
        <v>-10.377107519887026</v>
      </c>
      <c r="CS383" s="7">
        <v>-10.547550509270973</v>
      </c>
      <c r="DT383" s="2"/>
      <c r="EB383" s="2"/>
    </row>
    <row r="384" spans="77:132" x14ac:dyDescent="0.5">
      <c r="BY384" s="2">
        <v>17</v>
      </c>
      <c r="BZ384" s="2"/>
      <c r="CA384" s="19">
        <v>1</v>
      </c>
      <c r="CB384" s="20">
        <v>0</v>
      </c>
      <c r="CC384" s="20">
        <v>0</v>
      </c>
      <c r="CD384" s="20">
        <v>-2</v>
      </c>
      <c r="CE384" s="20">
        <v>0</v>
      </c>
      <c r="CF384" s="20">
        <v>0</v>
      </c>
      <c r="CG384" s="39">
        <v>0</v>
      </c>
      <c r="CH384" s="2" t="s">
        <v>28</v>
      </c>
      <c r="CL384" s="7">
        <v>-1.44404493372731</v>
      </c>
      <c r="CM384" s="7">
        <v>-4.9571811434465536</v>
      </c>
      <c r="CN384" s="7">
        <v>-1.5752869796380526</v>
      </c>
      <c r="CO384" s="7">
        <v>-3.7370498678133059</v>
      </c>
      <c r="CP384" s="7">
        <v>-2.3433859889341715</v>
      </c>
      <c r="CQ384" s="7">
        <v>-3.3989483613729075</v>
      </c>
      <c r="CR384" s="7">
        <v>-0.94858925270328731</v>
      </c>
      <c r="CS384" s="7">
        <v>-1.4404779386328901</v>
      </c>
      <c r="DT384" s="2"/>
      <c r="EB384" s="2"/>
    </row>
    <row r="385" spans="77:132" x14ac:dyDescent="0.5">
      <c r="BY385" s="2">
        <v>18</v>
      </c>
      <c r="BZ385" s="2"/>
      <c r="CA385" s="19">
        <v>1</v>
      </c>
      <c r="CB385" s="20">
        <v>1</v>
      </c>
      <c r="CC385" s="20">
        <v>1</v>
      </c>
      <c r="CD385" s="20">
        <v>2</v>
      </c>
      <c r="CE385" s="20">
        <v>2</v>
      </c>
      <c r="CF385" s="20">
        <v>0</v>
      </c>
      <c r="CG385" s="39">
        <v>0</v>
      </c>
      <c r="CH385" s="2" t="s">
        <v>28</v>
      </c>
      <c r="CL385" s="7">
        <v>4.3670981086219705</v>
      </c>
      <c r="CM385" s="7">
        <v>8.9409736142589935</v>
      </c>
      <c r="CN385" s="7">
        <v>4.6262014973805474</v>
      </c>
      <c r="CO385" s="7">
        <v>6.9999907799307497</v>
      </c>
      <c r="CP385" s="7">
        <v>5.5702434755836148</v>
      </c>
      <c r="CQ385" s="7">
        <v>6.6629559803525655</v>
      </c>
      <c r="CR385" s="7">
        <v>3.7294121792349681</v>
      </c>
      <c r="CS385" s="7">
        <v>3.8782961525789919</v>
      </c>
      <c r="DT385" s="2"/>
      <c r="EB385" s="2"/>
    </row>
    <row r="386" spans="77:132" x14ac:dyDescent="0.5">
      <c r="BY386" s="2">
        <v>19</v>
      </c>
      <c r="BZ386" s="2"/>
      <c r="CA386" s="19">
        <v>-2</v>
      </c>
      <c r="CB386" s="20">
        <v>0</v>
      </c>
      <c r="CC386" s="20">
        <v>1</v>
      </c>
      <c r="CD386" s="20">
        <v>-2</v>
      </c>
      <c r="CE386" s="20">
        <v>-2</v>
      </c>
      <c r="CF386" s="20">
        <v>2</v>
      </c>
      <c r="CG386" s="39">
        <v>1</v>
      </c>
      <c r="CH386" s="2" t="s">
        <v>28</v>
      </c>
      <c r="CL386" s="7">
        <v>6.487951084662086</v>
      </c>
      <c r="CM386" s="7">
        <v>-7.6539692822532572</v>
      </c>
      <c r="CN386" s="7">
        <v>5.470937030503249</v>
      </c>
      <c r="CO386" s="7">
        <v>0.66595823902501117</v>
      </c>
      <c r="CP386" s="7">
        <v>-0.24379884933468876</v>
      </c>
      <c r="CQ386" s="7">
        <v>-2.2360405465154294</v>
      </c>
      <c r="CR386" s="7">
        <v>9.0545124849854837</v>
      </c>
      <c r="CS386" s="7">
        <v>9.2338316512486589</v>
      </c>
      <c r="CV386" s="2"/>
      <c r="CW386" s="2"/>
      <c r="CX386" s="2"/>
      <c r="CY386" s="2"/>
      <c r="CZ386" s="2"/>
      <c r="DA386" s="2"/>
      <c r="DB386" s="2"/>
    </row>
    <row r="387" spans="77:132" x14ac:dyDescent="0.5">
      <c r="BY387" s="2">
        <v>20</v>
      </c>
      <c r="BZ387" s="2"/>
      <c r="CA387" s="19">
        <v>1</v>
      </c>
      <c r="CB387" s="20">
        <v>2</v>
      </c>
      <c r="CC387" s="20">
        <v>0</v>
      </c>
      <c r="CD387" s="20">
        <v>-1</v>
      </c>
      <c r="CE387" s="20">
        <v>-1</v>
      </c>
      <c r="CF387" s="20">
        <v>0</v>
      </c>
      <c r="CG387" s="39">
        <v>0</v>
      </c>
      <c r="CH387" s="2" t="s">
        <v>28</v>
      </c>
      <c r="CL387" s="7">
        <v>9.5625141675940117</v>
      </c>
      <c r="CM387" s="7">
        <v>6.6440817184750793</v>
      </c>
      <c r="CN387" s="7">
        <v>8.9740444772033907</v>
      </c>
      <c r="CO387" s="7">
        <v>7.7579935630049741</v>
      </c>
      <c r="CP387" s="7">
        <v>8.1700013867414345</v>
      </c>
      <c r="CQ387" s="7">
        <v>7.4493461737174433</v>
      </c>
      <c r="CR387" s="7">
        <v>9.2447597240923933</v>
      </c>
      <c r="CS387" s="7">
        <v>8.9305085652768952</v>
      </c>
      <c r="CV387" s="2"/>
      <c r="CW387" s="2"/>
      <c r="CX387" s="2"/>
      <c r="CY387" s="2"/>
      <c r="CZ387" s="2"/>
      <c r="DA387" s="2"/>
      <c r="DB387" s="2"/>
    </row>
    <row r="388" spans="77:132" x14ac:dyDescent="0.5">
      <c r="BY388" s="2">
        <v>21</v>
      </c>
      <c r="BZ388" s="2"/>
      <c r="CA388" s="19">
        <v>0</v>
      </c>
      <c r="CB388" s="20">
        <v>1</v>
      </c>
      <c r="CC388" s="20">
        <v>0</v>
      </c>
      <c r="CD388" s="20">
        <v>1</v>
      </c>
      <c r="CE388" s="20">
        <v>0</v>
      </c>
      <c r="CF388" s="20">
        <v>0</v>
      </c>
      <c r="CG388" s="39">
        <v>1</v>
      </c>
      <c r="CH388" s="2" t="s">
        <v>28</v>
      </c>
      <c r="CL388" s="7">
        <v>5.9263834454613153</v>
      </c>
      <c r="CM388" s="7">
        <v>7.8144236553753874</v>
      </c>
      <c r="CN388" s="7">
        <v>5.8583129864592571</v>
      </c>
      <c r="CO388" s="7">
        <v>6.9100343379877458</v>
      </c>
      <c r="CP388" s="7">
        <v>6.4479714585378129</v>
      </c>
      <c r="CQ388" s="7">
        <v>6.9081750095487475</v>
      </c>
      <c r="CR388" s="7">
        <v>5.4315315499975556</v>
      </c>
      <c r="CS388" s="7">
        <v>5.6301442474195476</v>
      </c>
      <c r="CV388" s="2"/>
      <c r="CW388" s="2"/>
      <c r="CX388" s="2"/>
      <c r="CY388" s="2"/>
      <c r="CZ388" s="2"/>
      <c r="DA388" s="2"/>
      <c r="DB388" s="2"/>
    </row>
    <row r="389" spans="77:132" x14ac:dyDescent="0.5">
      <c r="BY389" s="2">
        <v>22</v>
      </c>
      <c r="BZ389" s="2"/>
      <c r="CA389" s="19">
        <v>0</v>
      </c>
      <c r="CB389" s="20">
        <v>-1</v>
      </c>
      <c r="CC389" s="20">
        <v>0</v>
      </c>
      <c r="CD389" s="20">
        <v>-1</v>
      </c>
      <c r="CE389" s="20">
        <v>0</v>
      </c>
      <c r="CF389" s="20">
        <v>-2</v>
      </c>
      <c r="CG389" s="39">
        <v>0</v>
      </c>
      <c r="CH389" s="2" t="s">
        <v>28</v>
      </c>
      <c r="CL389" s="7">
        <v>-13.382851463311098</v>
      </c>
      <c r="CM389" s="7">
        <v>-10.273008014508367</v>
      </c>
      <c r="CN389" s="7">
        <v>-13.379748273465484</v>
      </c>
      <c r="CO389" s="7">
        <v>-11.898640792383873</v>
      </c>
      <c r="CP389" s="7">
        <v>-12.950274527068323</v>
      </c>
      <c r="CQ389" s="7">
        <v>-12.592691700307235</v>
      </c>
      <c r="CR389" s="7">
        <v>-14.961435902126421</v>
      </c>
      <c r="CS389" s="7">
        <v>-15.891093618729041</v>
      </c>
      <c r="CV389" s="2"/>
      <c r="CW389" s="2"/>
      <c r="CX389" s="2"/>
      <c r="CY389" s="2"/>
      <c r="CZ389" s="2"/>
      <c r="DA389" s="2"/>
      <c r="DB389" s="2"/>
    </row>
    <row r="390" spans="77:132" x14ac:dyDescent="0.5">
      <c r="BY390" s="2">
        <v>23</v>
      </c>
      <c r="BZ390" s="2"/>
      <c r="CA390" s="22">
        <v>-2</v>
      </c>
      <c r="CB390" s="23">
        <v>2</v>
      </c>
      <c r="CC390" s="23">
        <v>0</v>
      </c>
      <c r="CD390" s="23">
        <v>1</v>
      </c>
      <c r="CE390" s="23">
        <v>0</v>
      </c>
      <c r="CF390" s="23">
        <v>0</v>
      </c>
      <c r="CG390" s="42">
        <v>-1</v>
      </c>
      <c r="CH390" s="2" t="s">
        <v>28</v>
      </c>
      <c r="CL390" s="8">
        <v>0.38432151925221092</v>
      </c>
      <c r="CM390" s="8">
        <v>1.5429003623509434</v>
      </c>
      <c r="CN390" s="8">
        <v>-7.8697098355231532E-3</v>
      </c>
      <c r="CO390" s="8">
        <v>0.97051513147691582</v>
      </c>
      <c r="CP390" s="8">
        <v>0.2144051588305329</v>
      </c>
      <c r="CQ390" s="8">
        <v>0.61428538567544111</v>
      </c>
      <c r="CR390" s="8">
        <v>-0.17994215629124688</v>
      </c>
      <c r="CS390" s="8">
        <v>0.10174889470316995</v>
      </c>
      <c r="CV390" s="2"/>
      <c r="CW390" s="2"/>
      <c r="CX390" s="2"/>
      <c r="CY390" s="2"/>
      <c r="CZ390" s="2"/>
      <c r="DA390" s="2"/>
      <c r="DB390" s="2"/>
    </row>
    <row r="391" spans="77:132" x14ac:dyDescent="0.5">
      <c r="CW391" s="2"/>
      <c r="CX391" s="2"/>
      <c r="CY391" s="2"/>
      <c r="CZ391" s="2"/>
      <c r="DA391" s="2"/>
      <c r="DB391" s="2"/>
    </row>
    <row r="392" spans="77:132" x14ac:dyDescent="0.5">
      <c r="CV392" s="2"/>
      <c r="CW392" s="2"/>
      <c r="CX392" s="2"/>
      <c r="CY392" s="2"/>
      <c r="CZ392" s="2"/>
      <c r="DA392" s="2"/>
      <c r="DB392" s="2"/>
    </row>
    <row r="394" spans="77:132" x14ac:dyDescent="0.5">
      <c r="CL394" s="4" t="s">
        <v>44</v>
      </c>
    </row>
    <row r="395" spans="77:132" x14ac:dyDescent="0.5">
      <c r="CL395" s="3" t="s">
        <v>45</v>
      </c>
    </row>
    <row r="396" spans="77:132" x14ac:dyDescent="0.5">
      <c r="CK396" s="89" t="s">
        <v>3</v>
      </c>
      <c r="CL396" s="3">
        <v>0</v>
      </c>
      <c r="CM396" s="3">
        <v>1</v>
      </c>
      <c r="CN396" s="3">
        <v>2</v>
      </c>
      <c r="CO396" s="3">
        <v>3</v>
      </c>
      <c r="CP396" s="3">
        <v>4</v>
      </c>
      <c r="CQ396" s="3">
        <v>5</v>
      </c>
      <c r="CR396" s="3">
        <v>6</v>
      </c>
      <c r="CS396" s="3">
        <v>7</v>
      </c>
    </row>
    <row r="397" spans="77:132" x14ac:dyDescent="0.5">
      <c r="CH397" s="3" t="str" cm="1">
        <f t="array" ref="CH397:CH420">TRANSPOSE($BJ$39:$CG$39)</f>
        <v>[S]</v>
      </c>
      <c r="CJ397" s="2" cm="1">
        <f t="array" ref="CJ397:CJ420">_xlfn.SEQUENCE(24,1,0)</f>
        <v>0</v>
      </c>
      <c r="CK397" s="2"/>
      <c r="CL397" s="6" cm="1">
        <f t="array" ref="CL397:CL420">SOFTMAX(CL367:CL390)</f>
        <v>1.9742756769343137E-4</v>
      </c>
      <c r="CM397" s="6" cm="1">
        <f t="array" ref="CM397:CM420">SOFTMAX(CM367:CM390)</f>
        <v>4.4109614882363729E-3</v>
      </c>
      <c r="CN397" s="6" cm="1">
        <f t="array" ref="CN397:CN420">SOFTMAX(CN367:CN390)</f>
        <v>3.4833748591358335E-4</v>
      </c>
      <c r="CO397" s="6" cm="1">
        <f t="array" ref="CO397:CO420">SOFTMAX(CO367:CO390)</f>
        <v>5.9660150898683944E-5</v>
      </c>
      <c r="CP397" s="6" cm="1">
        <f t="array" ref="CP397:CP420">SOFTMAX(CP367:CP390)</f>
        <v>3.7323516515475545E-2</v>
      </c>
      <c r="CQ397" s="6" cm="1">
        <f t="array" ref="CQ397:CQ420">SOFTMAX(CQ367:CQ390)</f>
        <v>2.1304945770569864E-2</v>
      </c>
      <c r="CR397" s="6" cm="1">
        <f t="array" ref="CR397:CR420">SOFTMAX(CR367:CR390)</f>
        <v>2.4925747325720113E-4</v>
      </c>
      <c r="CS397" s="6" cm="1">
        <f t="array" ref="CS397:CS420">SOFTMAX(CS367:CS390)</f>
        <v>4.0119265444938968E-4</v>
      </c>
    </row>
    <row r="398" spans="77:132" x14ac:dyDescent="0.5">
      <c r="CH398" s="3" t="str">
        <v>a</v>
      </c>
      <c r="CJ398" s="2">
        <v>1</v>
      </c>
      <c r="CK398" s="2"/>
      <c r="CL398" s="7">
        <v>1.4018901365222191E-7</v>
      </c>
      <c r="CM398" s="7">
        <v>2.3455158180210466E-7</v>
      </c>
      <c r="CN398" s="7">
        <v>3.280574883907285E-7</v>
      </c>
      <c r="CO398" s="7">
        <v>6.0269591888363409E-9</v>
      </c>
      <c r="CP398" s="7">
        <v>4.0430938439770572E-5</v>
      </c>
      <c r="CQ398" s="7">
        <v>8.7206290740643984E-6</v>
      </c>
      <c r="CR398" s="7">
        <v>3.9940684868446927E-7</v>
      </c>
      <c r="CS398" s="7">
        <v>5.096372109649188E-7</v>
      </c>
    </row>
    <row r="399" spans="77:132" x14ac:dyDescent="0.5">
      <c r="CH399" s="3" t="str">
        <v>and</v>
      </c>
      <c r="CJ399" s="2">
        <v>2</v>
      </c>
      <c r="CK399" s="2"/>
      <c r="CL399" s="7">
        <v>1.596207042572444E-5</v>
      </c>
      <c r="CM399" s="7">
        <v>1.2285520599797387E-5</v>
      </c>
      <c r="CN399" s="7">
        <v>1.4257329515433595E-5</v>
      </c>
      <c r="CO399" s="7">
        <v>7.2569852450390375E-7</v>
      </c>
      <c r="CP399" s="7">
        <v>5.2921764996177224E-4</v>
      </c>
      <c r="CQ399" s="7">
        <v>1.3450477770152655E-4</v>
      </c>
      <c r="CR399" s="7">
        <v>9.8349214287732961E-6</v>
      </c>
      <c r="CS399" s="7">
        <v>9.2674954513660668E-6</v>
      </c>
    </row>
    <row r="400" spans="77:132" x14ac:dyDescent="0.5">
      <c r="CH400" s="3" t="str">
        <v>apples</v>
      </c>
      <c r="CJ400" s="2">
        <v>3</v>
      </c>
      <c r="CK400" s="2"/>
      <c r="CL400" s="7">
        <v>1.1794217286919085E-4</v>
      </c>
      <c r="CM400" s="7">
        <v>7.9315689781516898E-3</v>
      </c>
      <c r="CN400" s="7">
        <v>2.8260436012628371E-4</v>
      </c>
      <c r="CO400" s="7">
        <v>1.4765883673429248E-4</v>
      </c>
      <c r="CP400" s="7">
        <v>2.5526339317763071E-2</v>
      </c>
      <c r="CQ400" s="7">
        <v>2.6457482339668596E-2</v>
      </c>
      <c r="CR400" s="7">
        <v>1.4335734503713465E-4</v>
      </c>
      <c r="CS400" s="7">
        <v>2.847945079450976E-4</v>
      </c>
    </row>
    <row r="401" spans="86:97" x14ac:dyDescent="0.5">
      <c r="CH401" s="3" t="str">
        <v>brings</v>
      </c>
      <c r="CJ401" s="2">
        <v>4</v>
      </c>
      <c r="CK401" s="2"/>
      <c r="CL401" s="7">
        <v>9.8519733591935927E-7</v>
      </c>
      <c r="CM401" s="7">
        <v>5.2378724000625692E-3</v>
      </c>
      <c r="CN401" s="7">
        <v>2.8568780786077449E-6</v>
      </c>
      <c r="CO401" s="7">
        <v>1.4395239710378816E-6</v>
      </c>
      <c r="CP401" s="7">
        <v>8.4274902053362195E-3</v>
      </c>
      <c r="CQ401" s="7">
        <v>7.4274512080450741E-3</v>
      </c>
      <c r="CR401" s="7">
        <v>4.91817424575869E-7</v>
      </c>
      <c r="CS401" s="7">
        <v>8.6594444912927123E-7</v>
      </c>
    </row>
    <row r="402" spans="86:97" x14ac:dyDescent="0.5">
      <c r="CH402" s="3" t="str">
        <v>by</v>
      </c>
      <c r="CJ402" s="2">
        <v>5</v>
      </c>
      <c r="CK402" s="2"/>
      <c r="CL402" s="7">
        <v>2.8992117536838106E-4</v>
      </c>
      <c r="CM402" s="7">
        <v>5.9014689747192831E-4</v>
      </c>
      <c r="CN402" s="7">
        <v>4.2494724585839593E-4</v>
      </c>
      <c r="CO402" s="7">
        <v>1.9090525591767079E-4</v>
      </c>
      <c r="CP402" s="7">
        <v>4.2030078229294615E-3</v>
      </c>
      <c r="CQ402" s="7">
        <v>4.1708560284388352E-3</v>
      </c>
      <c r="CR402" s="7">
        <v>4.3530116906210988E-4</v>
      </c>
      <c r="CS402" s="7">
        <v>1.0335514866443777E-3</v>
      </c>
    </row>
    <row r="403" spans="86:97" x14ac:dyDescent="0.5">
      <c r="CH403" s="3" t="str">
        <v>cat</v>
      </c>
      <c r="CJ403" s="2">
        <v>6</v>
      </c>
      <c r="CK403" s="2"/>
      <c r="CL403" s="7">
        <v>2.3647206456309805E-6</v>
      </c>
      <c r="CM403" s="7">
        <v>4.7874357994175089E-7</v>
      </c>
      <c r="CN403" s="7">
        <v>1.9812307429622596E-6</v>
      </c>
      <c r="CO403" s="7">
        <v>1.3763229808530148E-7</v>
      </c>
      <c r="CP403" s="7">
        <v>1.0453060743311719E-5</v>
      </c>
      <c r="CQ403" s="7">
        <v>2.9271068525091203E-6</v>
      </c>
      <c r="CR403" s="7">
        <v>1.6732841011362914E-6</v>
      </c>
      <c r="CS403" s="7">
        <v>9.6937159402045253E-7</v>
      </c>
    </row>
    <row r="404" spans="86:97" x14ac:dyDescent="0.5">
      <c r="CH404" s="3" t="str">
        <v>day</v>
      </c>
      <c r="CJ404" s="2">
        <v>7</v>
      </c>
      <c r="CK404" s="2"/>
      <c r="CL404" s="7">
        <v>5.6371976201793128E-8</v>
      </c>
      <c r="CM404" s="7">
        <v>2.4190797350579747E-8</v>
      </c>
      <c r="CN404" s="7">
        <v>7.2685298875539379E-8</v>
      </c>
      <c r="CO404" s="7">
        <v>1.3104031215748742E-8</v>
      </c>
      <c r="CP404" s="7">
        <v>3.2918855551475828E-7</v>
      </c>
      <c r="CQ404" s="7">
        <v>2.0145677472166892E-7</v>
      </c>
      <c r="CR404" s="7">
        <v>1.123491107305411E-7</v>
      </c>
      <c r="CS404" s="7">
        <v>1.6864401757038616E-7</v>
      </c>
    </row>
    <row r="405" spans="86:97" x14ac:dyDescent="0.5">
      <c r="CH405" s="3" t="str">
        <v>dog</v>
      </c>
      <c r="CJ405" s="2">
        <v>8</v>
      </c>
      <c r="CK405" s="2"/>
      <c r="CL405" s="7">
        <v>4.4323458201791885E-7</v>
      </c>
      <c r="CM405" s="7">
        <v>1.2145993566074484E-7</v>
      </c>
      <c r="CN405" s="7">
        <v>5.5830403487160403E-7</v>
      </c>
      <c r="CO405" s="7">
        <v>1.4231484766036739E-7</v>
      </c>
      <c r="CP405" s="7">
        <v>7.6219802964745825E-7</v>
      </c>
      <c r="CQ405" s="7">
        <v>4.3523065073827237E-7</v>
      </c>
      <c r="CR405" s="7">
        <v>4.1429778242731907E-7</v>
      </c>
      <c r="CS405" s="7">
        <v>2.4353451522597407E-7</v>
      </c>
    </row>
    <row r="406" spans="86:97" x14ac:dyDescent="0.5">
      <c r="CH406" s="3" t="str">
        <v>eat</v>
      </c>
      <c r="CJ406" s="2">
        <v>9</v>
      </c>
      <c r="CK406" s="2"/>
      <c r="CL406" s="7">
        <v>3.0637488420044036E-6</v>
      </c>
      <c r="CM406" s="7">
        <v>8.7907248228214668E-4</v>
      </c>
      <c r="CN406" s="7">
        <v>8.1593470803583581E-6</v>
      </c>
      <c r="CO406" s="7">
        <v>4.5633049824872071E-6</v>
      </c>
      <c r="CP406" s="7">
        <v>2.0234607145861489E-3</v>
      </c>
      <c r="CQ406" s="7">
        <v>1.8953743095491598E-3</v>
      </c>
      <c r="CR406" s="7">
        <v>1.9506730158786051E-6</v>
      </c>
      <c r="CS406" s="7">
        <v>2.7390723384756856E-6</v>
      </c>
    </row>
    <row r="407" spans="86:97" x14ac:dyDescent="0.5">
      <c r="CH407" s="3" t="str">
        <v>fill</v>
      </c>
      <c r="CJ407" s="2">
        <v>10</v>
      </c>
      <c r="CK407" s="2"/>
      <c r="CL407" s="7">
        <v>0.55918345981190432</v>
      </c>
      <c r="CM407" s="7">
        <v>0.56879165189359049</v>
      </c>
      <c r="CN407" s="7">
        <v>0.47255722982232901</v>
      </c>
      <c r="CO407" s="7">
        <v>0.89489563092879132</v>
      </c>
      <c r="CP407" s="7">
        <v>0.45693541762104695</v>
      </c>
      <c r="CQ407" s="7">
        <v>0.62166814375396706</v>
      </c>
      <c r="CR407" s="7">
        <v>0.19388942050228364</v>
      </c>
      <c r="CS407" s="7">
        <v>0.17329332393700272</v>
      </c>
    </row>
    <row r="408" spans="86:97" x14ac:dyDescent="0.5">
      <c r="CH408" s="3" t="str">
        <v>friend</v>
      </c>
      <c r="CJ408" s="2">
        <v>11</v>
      </c>
      <c r="CK408" s="2"/>
      <c r="CL408" s="7">
        <v>1.9275060074367146E-7</v>
      </c>
      <c r="CM408" s="7">
        <v>1.2173437148040408E-8</v>
      </c>
      <c r="CN408" s="7">
        <v>2.9232717373069317E-7</v>
      </c>
      <c r="CO408" s="7">
        <v>6.6099499026966351E-9</v>
      </c>
      <c r="CP408" s="7">
        <v>1.5814164542049771E-6</v>
      </c>
      <c r="CQ408" s="7">
        <v>3.5628318330315263E-7</v>
      </c>
      <c r="CR408" s="7">
        <v>6.5339604981266207E-7</v>
      </c>
      <c r="CS408" s="7">
        <v>5.6908812412111311E-7</v>
      </c>
    </row>
    <row r="409" spans="86:97" x14ac:dyDescent="0.5">
      <c r="CH409" s="3" t="str">
        <v>happy</v>
      </c>
      <c r="CJ409" s="2">
        <v>12</v>
      </c>
      <c r="CK409" s="2"/>
      <c r="CL409" s="7">
        <v>1.3907176754793748E-5</v>
      </c>
      <c r="CM409" s="7">
        <v>2.9938110050378225E-3</v>
      </c>
      <c r="CN409" s="7">
        <v>3.0258506990168445E-5</v>
      </c>
      <c r="CO409" s="7">
        <v>7.6558272105507297E-5</v>
      </c>
      <c r="CP409" s="7">
        <v>6.4665286733872423E-4</v>
      </c>
      <c r="CQ409" s="7">
        <v>1.1114833244963778E-3</v>
      </c>
      <c r="CR409" s="7">
        <v>6.884255643410077E-6</v>
      </c>
      <c r="CS409" s="7">
        <v>5.8338244837366611E-6</v>
      </c>
    </row>
    <row r="410" spans="86:97" x14ac:dyDescent="0.5">
      <c r="CH410" s="3" t="str">
        <v>house</v>
      </c>
      <c r="CJ410" s="2">
        <v>13</v>
      </c>
      <c r="CK410" s="2"/>
      <c r="CL410" s="7">
        <v>4.494762495045216E-6</v>
      </c>
      <c r="CM410" s="7">
        <v>2.877865381186329E-9</v>
      </c>
      <c r="CN410" s="7">
        <v>5.2825478439122806E-6</v>
      </c>
      <c r="CO410" s="7">
        <v>3.6419504368442602E-8</v>
      </c>
      <c r="CP410" s="7">
        <v>2.8189301841726364E-6</v>
      </c>
      <c r="CQ410" s="7">
        <v>4.1805387495316447E-7</v>
      </c>
      <c r="CR410" s="7">
        <v>4.2879130277360067E-5</v>
      </c>
      <c r="CS410" s="7">
        <v>4.333157008844233E-5</v>
      </c>
    </row>
    <row r="411" spans="86:97" x14ac:dyDescent="0.5">
      <c r="CH411" s="3" t="str">
        <v>laughter</v>
      </c>
      <c r="CJ411" s="2">
        <v>14</v>
      </c>
      <c r="CK411" s="2"/>
      <c r="CL411" s="7">
        <v>2.9769466837570902E-9</v>
      </c>
      <c r="CM411" s="7">
        <v>9.8577960514641228E-5</v>
      </c>
      <c r="CN411" s="7">
        <v>7.6561047583636913E-9</v>
      </c>
      <c r="CO411" s="7">
        <v>5.6906409357254972E-9</v>
      </c>
      <c r="CP411" s="7">
        <v>3.650696750530869E-5</v>
      </c>
      <c r="CQ411" s="7">
        <v>2.5292531820131805E-5</v>
      </c>
      <c r="CR411" s="7">
        <v>2.8567462418126799E-10</v>
      </c>
      <c r="CS411" s="7">
        <v>1.4053674451383733E-10</v>
      </c>
    </row>
    <row r="412" spans="86:97" x14ac:dyDescent="0.5">
      <c r="CH412" s="3" t="str">
        <v>light</v>
      </c>
      <c r="CJ412" s="2">
        <v>15</v>
      </c>
      <c r="CK412" s="2"/>
      <c r="CL412" s="7">
        <v>0.43346928488502084</v>
      </c>
      <c r="CM412" s="7">
        <v>8.060402298411604E-3</v>
      </c>
      <c r="CN412" s="7">
        <v>0.51905265725300553</v>
      </c>
      <c r="CO412" s="7">
        <v>0.10231780957749144</v>
      </c>
      <c r="CP412" s="7">
        <v>0.19197219286587541</v>
      </c>
      <c r="CQ412" s="7">
        <v>0.1166692721206023</v>
      </c>
      <c r="CR412" s="7">
        <v>0.80006908446754699</v>
      </c>
      <c r="CS412" s="7">
        <v>0.81925157613039445</v>
      </c>
    </row>
    <row r="413" spans="86:97" x14ac:dyDescent="0.5">
      <c r="CH413" s="3" t="str">
        <v>music</v>
      </c>
      <c r="CJ413" s="2">
        <v>16</v>
      </c>
      <c r="CK413" s="2"/>
      <c r="CL413" s="7">
        <v>3.8213990255212987E-11</v>
      </c>
      <c r="CM413" s="7">
        <v>3.7356582671270846E-6</v>
      </c>
      <c r="CN413" s="7">
        <v>1.242947880863168E-10</v>
      </c>
      <c r="CO413" s="7">
        <v>2.7543017707160178E-10</v>
      </c>
      <c r="CP413" s="7">
        <v>4.2011571864412452E-7</v>
      </c>
      <c r="CQ413" s="7">
        <v>6.2153205739156865E-7</v>
      </c>
      <c r="CR413" s="7">
        <v>8.3584272984483473E-12</v>
      </c>
      <c r="CS413" s="7">
        <v>8.2155928091538914E-12</v>
      </c>
    </row>
    <row r="414" spans="86:97" x14ac:dyDescent="0.5">
      <c r="CH414" s="3" t="str">
        <v>night</v>
      </c>
      <c r="CJ414" s="2">
        <v>17</v>
      </c>
      <c r="CK414" s="2"/>
      <c r="CL414" s="7">
        <v>1.0310981347094005E-7</v>
      </c>
      <c r="CM414" s="7">
        <v>2.5901441247820871E-7</v>
      </c>
      <c r="CN414" s="7">
        <v>1.752202491223681E-7</v>
      </c>
      <c r="CO414" s="7">
        <v>1.2356281278287771E-8</v>
      </c>
      <c r="CP414" s="7">
        <v>5.9022210932115018E-6</v>
      </c>
      <c r="CQ414" s="7">
        <v>1.8984905525176796E-6</v>
      </c>
      <c r="CR414" s="7">
        <v>1.0396281378123805E-7</v>
      </c>
      <c r="CS414" s="7">
        <v>7.409523330295801E-8</v>
      </c>
    </row>
    <row r="415" spans="86:97" x14ac:dyDescent="0.5">
      <c r="CH415" s="3" t="str">
        <v>play</v>
      </c>
      <c r="CJ415" s="2">
        <v>18</v>
      </c>
      <c r="CK415" s="2"/>
      <c r="CL415" s="7">
        <v>3.4438748277048062E-5</v>
      </c>
      <c r="CM415" s="7">
        <v>0.28132987312306301</v>
      </c>
      <c r="CN415" s="7">
        <v>8.6468219952985512E-5</v>
      </c>
      <c r="CO415" s="7">
        <v>5.6875508339883612E-4</v>
      </c>
      <c r="CP415" s="7">
        <v>1.6138422541227243E-2</v>
      </c>
      <c r="CQ415" s="7">
        <v>4.4487497165995038E-2</v>
      </c>
      <c r="CR415" s="7">
        <v>1.1181710230694999E-5</v>
      </c>
      <c r="CS415" s="7">
        <v>1.5125317789426522E-5</v>
      </c>
    </row>
    <row r="416" spans="86:97" x14ac:dyDescent="0.5">
      <c r="CH416" s="3" t="str">
        <v>quiet</v>
      </c>
      <c r="CJ416" s="2">
        <v>19</v>
      </c>
      <c r="CK416" s="2"/>
      <c r="CL416" s="7">
        <v>2.8715878192655424E-4</v>
      </c>
      <c r="CM416" s="7">
        <v>1.7463195779155765E-8</v>
      </c>
      <c r="CN416" s="7">
        <v>2.0124286860453297E-4</v>
      </c>
      <c r="CO416" s="7">
        <v>1.0094618500934412E-6</v>
      </c>
      <c r="CP416" s="7">
        <v>4.8178645147294465E-5</v>
      </c>
      <c r="CQ416" s="7">
        <v>6.073693711837828E-6</v>
      </c>
      <c r="CR416" s="7">
        <v>2.2970471611636328E-3</v>
      </c>
      <c r="CS416" s="7">
        <v>3.2031997569287665E-3</v>
      </c>
    </row>
    <row r="417" spans="83:98" x14ac:dyDescent="0.5">
      <c r="CH417" s="3" t="str">
        <v>smile</v>
      </c>
      <c r="CJ417" s="2">
        <v>20</v>
      </c>
      <c r="CK417" s="2"/>
      <c r="CL417" s="7">
        <v>6.2142380186834892E-3</v>
      </c>
      <c r="CM417" s="7">
        <v>2.8293610753799582E-2</v>
      </c>
      <c r="CN417" s="7">
        <v>6.6849895535558181E-3</v>
      </c>
      <c r="CO417" s="7">
        <v>1.2137289677614945E-3</v>
      </c>
      <c r="CP417" s="7">
        <v>0.21723089785056329</v>
      </c>
      <c r="CQ417" s="7">
        <v>9.7670383945275385E-2</v>
      </c>
      <c r="CR417" s="7">
        <v>2.7783901972372902E-3</v>
      </c>
      <c r="CS417" s="7">
        <v>2.3651161866461556E-3</v>
      </c>
    </row>
    <row r="418" spans="83:98" x14ac:dyDescent="0.5">
      <c r="CH418" s="3" t="str">
        <v>the</v>
      </c>
      <c r="CJ418" s="2">
        <v>21</v>
      </c>
      <c r="CK418" s="2"/>
      <c r="CL418" s="7">
        <v>1.6377076419242439E-4</v>
      </c>
      <c r="CM418" s="7">
        <v>9.1192982481319934E-2</v>
      </c>
      <c r="CN418" s="7">
        <v>2.9645292478064903E-4</v>
      </c>
      <c r="CO418" s="7">
        <v>5.1982564960188131E-4</v>
      </c>
      <c r="CP418" s="7">
        <v>3.881981860602432E-2</v>
      </c>
      <c r="CQ418" s="7">
        <v>5.6850625133572315E-2</v>
      </c>
      <c r="CR418" s="7">
        <v>6.1337953758624906E-5</v>
      </c>
      <c r="CS418" s="7">
        <v>8.7201201492864935E-5</v>
      </c>
    </row>
    <row r="419" spans="83:98" x14ac:dyDescent="0.5">
      <c r="CH419" s="3" t="str">
        <v>to</v>
      </c>
      <c r="CJ419" s="2">
        <v>22</v>
      </c>
      <c r="CK419" s="2"/>
      <c r="CL419" s="7">
        <v>6.7350714117755997E-13</v>
      </c>
      <c r="CM419" s="7">
        <v>1.2725933620173141E-9</v>
      </c>
      <c r="CN419" s="7">
        <v>1.3090971932363422E-12</v>
      </c>
      <c r="CO419" s="7">
        <v>3.5265811670445513E-12</v>
      </c>
      <c r="CP419" s="7">
        <v>1.4605025230781628E-10</v>
      </c>
      <c r="CQ419" s="7">
        <v>1.930262796103278E-10</v>
      </c>
      <c r="CR419" s="7">
        <v>8.534460047800524E-14</v>
      </c>
      <c r="CS419" s="7">
        <v>3.9261566165930268E-14</v>
      </c>
    </row>
    <row r="420" spans="83:98" x14ac:dyDescent="0.5">
      <c r="CH420" s="3" t="str">
        <v>water</v>
      </c>
      <c r="CJ420" s="2">
        <v>23</v>
      </c>
      <c r="CK420" s="2"/>
      <c r="CL420" s="8">
        <v>6.4172574470000119E-7</v>
      </c>
      <c r="CM420" s="8">
        <v>1.7229531179229415E-4</v>
      </c>
      <c r="CN420" s="8">
        <v>8.4004966812432418E-7</v>
      </c>
      <c r="CO420" s="8">
        <v>1.368854501252694E-6</v>
      </c>
      <c r="CP420" s="8">
        <v>7.6181593950659022E-5</v>
      </c>
      <c r="CQ420" s="8">
        <v>1.0503492054003149E-4</v>
      </c>
      <c r="CR420" s="8">
        <v>2.2423180753258928E-7</v>
      </c>
      <c r="CS420" s="8">
        <v>3.4639440879766307E-7</v>
      </c>
    </row>
    <row r="423" spans="83:98" x14ac:dyDescent="0.5">
      <c r="CE423"/>
      <c r="CF423" s="1"/>
      <c r="CG423"/>
      <c r="CH423"/>
      <c r="CI423"/>
      <c r="CJ423"/>
      <c r="CK423"/>
      <c r="CL423" s="89"/>
      <c r="CM423"/>
      <c r="CN423"/>
      <c r="CO423"/>
      <c r="CP423"/>
      <c r="CQ423"/>
      <c r="CR423"/>
      <c r="CS423"/>
      <c r="CT423"/>
    </row>
    <row r="424" spans="83:98" x14ac:dyDescent="0.5">
      <c r="CF424" s="4" t="s">
        <v>70</v>
      </c>
      <c r="CJ424" s="89"/>
      <c r="CL424" s="3">
        <f>COUNTA(CL9:CS9)-1</f>
        <v>5</v>
      </c>
    </row>
    <row r="426" spans="83:98" x14ac:dyDescent="0.5">
      <c r="CF426" s="4" t="s">
        <v>71</v>
      </c>
    </row>
    <row r="428" spans="83:98" x14ac:dyDescent="0.5">
      <c r="CF428" s="89"/>
      <c r="CK428" s="89" t="s">
        <v>3</v>
      </c>
      <c r="CL428" s="3">
        <v>0</v>
      </c>
      <c r="CM428" s="3">
        <v>1</v>
      </c>
      <c r="CN428" s="3">
        <v>2</v>
      </c>
      <c r="CO428" s="3">
        <v>3</v>
      </c>
      <c r="CP428" s="3">
        <v>4</v>
      </c>
      <c r="CQ428" s="3">
        <v>5</v>
      </c>
      <c r="CR428" s="3">
        <v>6</v>
      </c>
      <c r="CS428" s="3">
        <v>7</v>
      </c>
    </row>
    <row r="429" spans="83:98" x14ac:dyDescent="0.5">
      <c r="CH429" s="3" t="str" cm="1">
        <f t="array" ref="CH429:CH452">TRANSPOSE($BJ$39:$CG$39)</f>
        <v>[S]</v>
      </c>
      <c r="CJ429" s="95" cm="1">
        <f t="array" ref="CJ429:CJ452">_xlfn.SEQUENCE(24,1,0)</f>
        <v>0</v>
      </c>
      <c r="CL429" s="6" t="str" cm="1">
        <f t="array" ref="CL429:CS452">_xlfn.MAKEARRAY(24,8,_xlfn.LAMBDA(_xlpm.i,_xlpm.j,IF(_xlpm.j=CL424+1, INDEX(CL397:CS420,_xlpm.i,_xlpm.j),"")))</f>
        <v/>
      </c>
      <c r="CM429" s="6" t="str">
        <v/>
      </c>
      <c r="CN429" s="6" t="str">
        <v/>
      </c>
      <c r="CO429" s="6" t="str">
        <v/>
      </c>
      <c r="CP429" s="6" t="str">
        <v/>
      </c>
      <c r="CQ429" s="6">
        <v>2.1304945770569864E-2</v>
      </c>
      <c r="CR429" s="6" t="str">
        <v/>
      </c>
      <c r="CS429" s="6" t="str">
        <v/>
      </c>
    </row>
    <row r="430" spans="83:98" x14ac:dyDescent="0.5">
      <c r="CH430" s="3" t="str">
        <v>a</v>
      </c>
      <c r="CJ430" s="3">
        <v>1</v>
      </c>
      <c r="CL430" s="7" t="str">
        <v/>
      </c>
      <c r="CM430" s="7" t="str">
        <v/>
      </c>
      <c r="CN430" s="7" t="str">
        <v/>
      </c>
      <c r="CO430" s="7" t="str">
        <v/>
      </c>
      <c r="CP430" s="7" t="str">
        <v/>
      </c>
      <c r="CQ430" s="7">
        <v>8.7206290740643984E-6</v>
      </c>
      <c r="CR430" s="7" t="str">
        <v/>
      </c>
      <c r="CS430" s="7" t="str">
        <v/>
      </c>
    </row>
    <row r="431" spans="83:98" x14ac:dyDescent="0.5">
      <c r="CH431" s="3" t="str">
        <v>and</v>
      </c>
      <c r="CJ431" s="3">
        <v>2</v>
      </c>
      <c r="CL431" s="7" t="str">
        <v/>
      </c>
      <c r="CM431" s="7" t="str">
        <v/>
      </c>
      <c r="CN431" s="7" t="str">
        <v/>
      </c>
      <c r="CO431" s="7" t="str">
        <v/>
      </c>
      <c r="CP431" s="7" t="str">
        <v/>
      </c>
      <c r="CQ431" s="7">
        <v>1.3450477770152655E-4</v>
      </c>
      <c r="CR431" s="7" t="str">
        <v/>
      </c>
      <c r="CS431" s="7" t="str">
        <v/>
      </c>
    </row>
    <row r="432" spans="83:98" x14ac:dyDescent="0.5">
      <c r="CH432" s="3" t="str">
        <v>apples</v>
      </c>
      <c r="CJ432" s="3">
        <v>3</v>
      </c>
      <c r="CL432" s="7" t="str">
        <v/>
      </c>
      <c r="CM432" s="7" t="str">
        <v/>
      </c>
      <c r="CN432" s="7" t="str">
        <v/>
      </c>
      <c r="CO432" s="7" t="str">
        <v/>
      </c>
      <c r="CP432" s="7" t="str">
        <v/>
      </c>
      <c r="CQ432" s="7">
        <v>2.6457482339668596E-2</v>
      </c>
      <c r="CR432" s="7" t="str">
        <v/>
      </c>
      <c r="CS432" s="7" t="str">
        <v/>
      </c>
    </row>
    <row r="433" spans="86:121" x14ac:dyDescent="0.5">
      <c r="CH433" s="3" t="str">
        <v>brings</v>
      </c>
      <c r="CJ433" s="3">
        <v>4</v>
      </c>
      <c r="CL433" s="7" t="str">
        <v/>
      </c>
      <c r="CM433" s="7" t="str">
        <v/>
      </c>
      <c r="CN433" s="7" t="str">
        <v/>
      </c>
      <c r="CO433" s="7" t="str">
        <v/>
      </c>
      <c r="CP433" s="7" t="str">
        <v/>
      </c>
      <c r="CQ433" s="7">
        <v>7.4274512080450741E-3</v>
      </c>
      <c r="CR433" s="7" t="str">
        <v/>
      </c>
      <c r="CS433" s="7" t="str">
        <v/>
      </c>
      <c r="DJ433" s="5"/>
    </row>
    <row r="434" spans="86:121" x14ac:dyDescent="0.5">
      <c r="CH434" s="3" t="str">
        <v>by</v>
      </c>
      <c r="CJ434" s="3">
        <v>5</v>
      </c>
      <c r="CL434" s="7" t="str">
        <v/>
      </c>
      <c r="CM434" s="7" t="str">
        <v/>
      </c>
      <c r="CN434" s="7" t="str">
        <v/>
      </c>
      <c r="CO434" s="7" t="str">
        <v/>
      </c>
      <c r="CP434" s="7" t="str">
        <v/>
      </c>
      <c r="CQ434" s="7">
        <v>4.1708560284388352E-3</v>
      </c>
      <c r="CR434" s="7" t="str">
        <v/>
      </c>
      <c r="CS434" s="7" t="str">
        <v/>
      </c>
      <c r="DI434" s="2"/>
      <c r="DJ434" s="5"/>
      <c r="DK434" s="2"/>
      <c r="DL434" s="2"/>
      <c r="DM434" s="2"/>
      <c r="DN434" s="2"/>
      <c r="DO434" s="2"/>
      <c r="DP434" s="2"/>
      <c r="DQ434" s="2"/>
    </row>
    <row r="435" spans="86:121" x14ac:dyDescent="0.5">
      <c r="CH435" s="3" t="str">
        <v>cat</v>
      </c>
      <c r="CJ435" s="3">
        <v>6</v>
      </c>
      <c r="CL435" s="7" t="str">
        <v/>
      </c>
      <c r="CM435" s="7" t="str">
        <v/>
      </c>
      <c r="CN435" s="7" t="str">
        <v/>
      </c>
      <c r="CO435" s="7" t="str">
        <v/>
      </c>
      <c r="CP435" s="7" t="str">
        <v/>
      </c>
      <c r="CQ435" s="7">
        <v>2.9271068525091203E-6</v>
      </c>
      <c r="CR435" s="7" t="str">
        <v/>
      </c>
      <c r="CS435" s="7" t="str">
        <v/>
      </c>
      <c r="DI435" s="2"/>
      <c r="DJ435" s="5"/>
      <c r="DK435" s="2"/>
      <c r="DL435" s="2"/>
      <c r="DM435" s="2"/>
      <c r="DN435" s="2"/>
      <c r="DO435" s="2"/>
      <c r="DP435" s="2"/>
      <c r="DQ435" s="2"/>
    </row>
    <row r="436" spans="86:121" x14ac:dyDescent="0.5">
      <c r="CH436" s="3" t="str">
        <v>day</v>
      </c>
      <c r="CJ436" s="3">
        <v>7</v>
      </c>
      <c r="CL436" s="7" t="str">
        <v/>
      </c>
      <c r="CM436" s="7" t="str">
        <v/>
      </c>
      <c r="CN436" s="7" t="str">
        <v/>
      </c>
      <c r="CO436" s="7" t="str">
        <v/>
      </c>
      <c r="CP436" s="7" t="str">
        <v/>
      </c>
      <c r="CQ436" s="7">
        <v>2.0145677472166892E-7</v>
      </c>
      <c r="CR436" s="7" t="str">
        <v/>
      </c>
      <c r="CS436" s="7" t="str">
        <v/>
      </c>
    </row>
    <row r="437" spans="86:121" x14ac:dyDescent="0.5">
      <c r="CH437" s="3" t="str">
        <v>dog</v>
      </c>
      <c r="CJ437" s="3">
        <v>8</v>
      </c>
      <c r="CL437" s="7" t="str">
        <v/>
      </c>
      <c r="CM437" s="7" t="str">
        <v/>
      </c>
      <c r="CN437" s="7" t="str">
        <v/>
      </c>
      <c r="CO437" s="7" t="str">
        <v/>
      </c>
      <c r="CP437" s="7" t="str">
        <v/>
      </c>
      <c r="CQ437" s="7">
        <v>4.3523065073827237E-7</v>
      </c>
      <c r="CR437" s="7" t="str">
        <v/>
      </c>
      <c r="CS437" s="7" t="str">
        <v/>
      </c>
      <c r="DI437" s="2"/>
    </row>
    <row r="438" spans="86:121" x14ac:dyDescent="0.5">
      <c r="CH438" s="3" t="str">
        <v>eat</v>
      </c>
      <c r="CJ438" s="3">
        <v>9</v>
      </c>
      <c r="CL438" s="7" t="str">
        <v/>
      </c>
      <c r="CM438" s="7" t="str">
        <v/>
      </c>
      <c r="CN438" s="7" t="str">
        <v/>
      </c>
      <c r="CO438" s="7" t="str">
        <v/>
      </c>
      <c r="CP438" s="7" t="str">
        <v/>
      </c>
      <c r="CQ438" s="7">
        <v>1.8953743095491598E-3</v>
      </c>
      <c r="CR438" s="7" t="str">
        <v/>
      </c>
      <c r="CS438" s="7" t="str">
        <v/>
      </c>
    </row>
    <row r="439" spans="86:121" x14ac:dyDescent="0.5">
      <c r="CH439" s="3" t="str">
        <v>fill</v>
      </c>
      <c r="CJ439" s="3">
        <v>10</v>
      </c>
      <c r="CL439" s="7" t="str">
        <v/>
      </c>
      <c r="CM439" s="7" t="str">
        <v/>
      </c>
      <c r="CN439" s="7" t="str">
        <v/>
      </c>
      <c r="CO439" s="7" t="str">
        <v/>
      </c>
      <c r="CP439" s="7" t="str">
        <v/>
      </c>
      <c r="CQ439" s="7">
        <v>0.62166814375396706</v>
      </c>
      <c r="CR439" s="7" t="str">
        <v/>
      </c>
      <c r="CS439" s="7" t="str">
        <v/>
      </c>
    </row>
    <row r="440" spans="86:121" x14ac:dyDescent="0.5">
      <c r="CH440" s="3" t="str">
        <v>friend</v>
      </c>
      <c r="CJ440" s="3">
        <v>11</v>
      </c>
      <c r="CL440" s="7" t="str">
        <v/>
      </c>
      <c r="CM440" s="7" t="str">
        <v/>
      </c>
      <c r="CN440" s="7" t="str">
        <v/>
      </c>
      <c r="CO440" s="7" t="str">
        <v/>
      </c>
      <c r="CP440" s="7" t="str">
        <v/>
      </c>
      <c r="CQ440" s="7">
        <v>3.5628318330315263E-7</v>
      </c>
      <c r="CR440" s="7" t="str">
        <v/>
      </c>
      <c r="CS440" s="7" t="str">
        <v/>
      </c>
    </row>
    <row r="441" spans="86:121" x14ac:dyDescent="0.5">
      <c r="CH441" s="3" t="str">
        <v>happy</v>
      </c>
      <c r="CJ441" s="3">
        <v>12</v>
      </c>
      <c r="CL441" s="7" t="str">
        <v/>
      </c>
      <c r="CM441" s="7" t="str">
        <v/>
      </c>
      <c r="CN441" s="7" t="str">
        <v/>
      </c>
      <c r="CO441" s="7" t="str">
        <v/>
      </c>
      <c r="CP441" s="7" t="str">
        <v/>
      </c>
      <c r="CQ441" s="7">
        <v>1.1114833244963778E-3</v>
      </c>
      <c r="CR441" s="7" t="str">
        <v/>
      </c>
      <c r="CS441" s="7" t="str">
        <v/>
      </c>
    </row>
    <row r="442" spans="86:121" x14ac:dyDescent="0.5">
      <c r="CH442" s="3" t="str">
        <v>house</v>
      </c>
      <c r="CJ442" s="3">
        <v>13</v>
      </c>
      <c r="CL442" s="7" t="str">
        <v/>
      </c>
      <c r="CM442" s="7" t="str">
        <v/>
      </c>
      <c r="CN442" s="7" t="str">
        <v/>
      </c>
      <c r="CO442" s="7" t="str">
        <v/>
      </c>
      <c r="CP442" s="7" t="str">
        <v/>
      </c>
      <c r="CQ442" s="7">
        <v>4.1805387495316447E-7</v>
      </c>
      <c r="CR442" s="7" t="str">
        <v/>
      </c>
      <c r="CS442" s="7" t="str">
        <v/>
      </c>
    </row>
    <row r="443" spans="86:121" x14ac:dyDescent="0.5">
      <c r="CH443" s="3" t="str">
        <v>laughter</v>
      </c>
      <c r="CJ443" s="3">
        <v>14</v>
      </c>
      <c r="CL443" s="7" t="str">
        <v/>
      </c>
      <c r="CM443" s="7" t="str">
        <v/>
      </c>
      <c r="CN443" s="7" t="str">
        <v/>
      </c>
      <c r="CO443" s="7" t="str">
        <v/>
      </c>
      <c r="CP443" s="7" t="str">
        <v/>
      </c>
      <c r="CQ443" s="7">
        <v>2.5292531820131805E-5</v>
      </c>
      <c r="CR443" s="7" t="str">
        <v/>
      </c>
      <c r="CS443" s="7" t="str">
        <v/>
      </c>
    </row>
    <row r="444" spans="86:121" x14ac:dyDescent="0.5">
      <c r="CH444" s="3" t="str">
        <v>light</v>
      </c>
      <c r="CJ444" s="3">
        <v>15</v>
      </c>
      <c r="CL444" s="7" t="str">
        <v/>
      </c>
      <c r="CM444" s="7" t="str">
        <v/>
      </c>
      <c r="CN444" s="7" t="str">
        <v/>
      </c>
      <c r="CO444" s="7" t="str">
        <v/>
      </c>
      <c r="CP444" s="7" t="str">
        <v/>
      </c>
      <c r="CQ444" s="7">
        <v>0.1166692721206023</v>
      </c>
      <c r="CR444" s="7" t="str">
        <v/>
      </c>
      <c r="CS444" s="7" t="str">
        <v/>
      </c>
    </row>
    <row r="445" spans="86:121" x14ac:dyDescent="0.5">
      <c r="CH445" s="3" t="str">
        <v>music</v>
      </c>
      <c r="CJ445" s="3">
        <v>16</v>
      </c>
      <c r="CL445" s="7" t="str">
        <v/>
      </c>
      <c r="CM445" s="7" t="str">
        <v/>
      </c>
      <c r="CN445" s="7" t="str">
        <v/>
      </c>
      <c r="CO445" s="7" t="str">
        <v/>
      </c>
      <c r="CP445" s="7" t="str">
        <v/>
      </c>
      <c r="CQ445" s="7">
        <v>6.2153205739156865E-7</v>
      </c>
      <c r="CR445" s="7" t="str">
        <v/>
      </c>
      <c r="CS445" s="7" t="str">
        <v/>
      </c>
    </row>
    <row r="446" spans="86:121" x14ac:dyDescent="0.5">
      <c r="CH446" s="3" t="str">
        <v>night</v>
      </c>
      <c r="CJ446" s="3">
        <v>17</v>
      </c>
      <c r="CL446" s="7" t="str">
        <v/>
      </c>
      <c r="CM446" s="7" t="str">
        <v/>
      </c>
      <c r="CN446" s="7" t="str">
        <v/>
      </c>
      <c r="CO446" s="7" t="str">
        <v/>
      </c>
      <c r="CP446" s="7" t="str">
        <v/>
      </c>
      <c r="CQ446" s="7">
        <v>1.8984905525176796E-6</v>
      </c>
      <c r="CR446" s="7" t="str">
        <v/>
      </c>
      <c r="CS446" s="7" t="str">
        <v/>
      </c>
    </row>
    <row r="447" spans="86:121" x14ac:dyDescent="0.5">
      <c r="CH447" s="3" t="str">
        <v>play</v>
      </c>
      <c r="CJ447" s="3">
        <v>18</v>
      </c>
      <c r="CL447" s="7" t="str">
        <v/>
      </c>
      <c r="CM447" s="7" t="str">
        <v/>
      </c>
      <c r="CN447" s="7" t="str">
        <v/>
      </c>
      <c r="CO447" s="7" t="str">
        <v/>
      </c>
      <c r="CP447" s="7" t="str">
        <v/>
      </c>
      <c r="CQ447" s="7">
        <v>4.4487497165995038E-2</v>
      </c>
      <c r="CR447" s="7" t="str">
        <v/>
      </c>
      <c r="CS447" s="7" t="str">
        <v/>
      </c>
    </row>
    <row r="448" spans="86:121" x14ac:dyDescent="0.5">
      <c r="CH448" s="3" t="str">
        <v>quiet</v>
      </c>
      <c r="CJ448" s="3">
        <v>19</v>
      </c>
      <c r="CL448" s="7" t="str">
        <v/>
      </c>
      <c r="CM448" s="7" t="str">
        <v/>
      </c>
      <c r="CN448" s="7" t="str">
        <v/>
      </c>
      <c r="CO448" s="7" t="str">
        <v/>
      </c>
      <c r="CP448" s="7" t="str">
        <v/>
      </c>
      <c r="CQ448" s="7">
        <v>6.073693711837828E-6</v>
      </c>
      <c r="CR448" s="7" t="str">
        <v/>
      </c>
      <c r="CS448" s="7" t="str">
        <v/>
      </c>
    </row>
    <row r="449" spans="86:97" x14ac:dyDescent="0.5">
      <c r="CH449" s="3" t="str">
        <v>smile</v>
      </c>
      <c r="CJ449" s="3">
        <v>20</v>
      </c>
      <c r="CL449" s="7" t="str">
        <v/>
      </c>
      <c r="CM449" s="7" t="str">
        <v/>
      </c>
      <c r="CN449" s="7" t="str">
        <v/>
      </c>
      <c r="CO449" s="7" t="str">
        <v/>
      </c>
      <c r="CP449" s="7" t="str">
        <v/>
      </c>
      <c r="CQ449" s="7">
        <v>9.7670383945275385E-2</v>
      </c>
      <c r="CR449" s="7" t="str">
        <v/>
      </c>
      <c r="CS449" s="7" t="str">
        <v/>
      </c>
    </row>
    <row r="450" spans="86:97" x14ac:dyDescent="0.5">
      <c r="CH450" s="3" t="str">
        <v>the</v>
      </c>
      <c r="CJ450" s="3">
        <v>21</v>
      </c>
      <c r="CL450" s="7" t="str">
        <v/>
      </c>
      <c r="CM450" s="7" t="str">
        <v/>
      </c>
      <c r="CN450" s="7" t="str">
        <v/>
      </c>
      <c r="CO450" s="7" t="str">
        <v/>
      </c>
      <c r="CP450" s="7" t="str">
        <v/>
      </c>
      <c r="CQ450" s="7">
        <v>5.6850625133572315E-2</v>
      </c>
      <c r="CR450" s="7" t="str">
        <v/>
      </c>
      <c r="CS450" s="7" t="str">
        <v/>
      </c>
    </row>
    <row r="451" spans="86:97" x14ac:dyDescent="0.5">
      <c r="CH451" s="3" t="str">
        <v>to</v>
      </c>
      <c r="CJ451" s="3">
        <v>22</v>
      </c>
      <c r="CL451" s="7" t="str">
        <v/>
      </c>
      <c r="CM451" s="7" t="str">
        <v/>
      </c>
      <c r="CN451" s="7" t="str">
        <v/>
      </c>
      <c r="CO451" s="7" t="str">
        <v/>
      </c>
      <c r="CP451" s="7" t="str">
        <v/>
      </c>
      <c r="CQ451" s="7">
        <v>1.930262796103278E-10</v>
      </c>
      <c r="CR451" s="7" t="str">
        <v/>
      </c>
      <c r="CS451" s="7" t="str">
        <v/>
      </c>
    </row>
    <row r="452" spans="86:97" x14ac:dyDescent="0.5">
      <c r="CH452" s="3" t="str">
        <v>water</v>
      </c>
      <c r="CJ452" s="3">
        <v>23</v>
      </c>
      <c r="CL452" s="8" t="str">
        <v/>
      </c>
      <c r="CM452" s="8" t="str">
        <v/>
      </c>
      <c r="CN452" s="8" t="str">
        <v/>
      </c>
      <c r="CO452" s="8" t="str">
        <v/>
      </c>
      <c r="CP452" s="8" t="str">
        <v/>
      </c>
      <c r="CQ452" s="8">
        <v>1.0503492054003149E-4</v>
      </c>
      <c r="CR452" s="8" t="str">
        <v/>
      </c>
      <c r="CS452" s="8" t="str">
        <v/>
      </c>
    </row>
  </sheetData>
  <conditionalFormatting sqref="O50:U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1:AE36">
    <cfRule type="colorScale" priority="1">
      <colorScale>
        <cfvo type="num" val="0"/>
        <cfvo type="num" val="1"/>
        <color theme="2" tint="-0.249977111117893"/>
        <color theme="0"/>
      </colorScale>
    </cfRule>
  </conditionalFormatting>
  <conditionalFormatting sqref="BZ52:CG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L12:CS35">
    <cfRule type="colorScale" priority="3">
      <colorScale>
        <cfvo type="num" val="0"/>
        <cfvo type="num" val="1"/>
        <color theme="2" tint="-0.249977111117893"/>
        <color theme="0"/>
      </colorScale>
    </cfRule>
  </conditionalFormatting>
  <conditionalFormatting sqref="CL397:CS420">
    <cfRule type="colorScale" priority="2">
      <colorScale>
        <cfvo type="num" val="0"/>
        <cfvo type="num" val="1"/>
        <color theme="0" tint="-0.499984740745262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9360-DD50-CC4C-B7EC-907567583E2F}">
  <dimension ref="A1:A21"/>
  <sheetViews>
    <sheetView workbookViewId="0">
      <selection sqref="A1:A21"/>
    </sheetView>
  </sheetViews>
  <sheetFormatPr defaultColWidth="10.83203125" defaultRowHeight="12.3" x14ac:dyDescent="0.4"/>
  <cols>
    <col min="1" max="16384" width="10.83203125" style="97"/>
  </cols>
  <sheetData>
    <row r="1" spans="1:1" x14ac:dyDescent="0.4">
      <c r="A1" s="97" t="s">
        <v>72</v>
      </c>
    </row>
    <row r="3" spans="1:1" x14ac:dyDescent="0.4">
      <c r="A3" s="97" t="s">
        <v>73</v>
      </c>
    </row>
    <row r="5" spans="1:1" x14ac:dyDescent="0.4">
      <c r="A5" s="97" t="s">
        <v>74</v>
      </c>
    </row>
    <row r="6" spans="1:1" x14ac:dyDescent="0.4">
      <c r="A6" s="97" t="s">
        <v>75</v>
      </c>
    </row>
    <row r="7" spans="1:1" x14ac:dyDescent="0.4">
      <c r="A7" s="97" t="s">
        <v>76</v>
      </c>
    </row>
    <row r="8" spans="1:1" x14ac:dyDescent="0.4">
      <c r="A8" s="97" t="s">
        <v>77</v>
      </c>
    </row>
    <row r="9" spans="1:1" x14ac:dyDescent="0.4">
      <c r="A9" s="97" t="s">
        <v>78</v>
      </c>
    </row>
    <row r="10" spans="1:1" x14ac:dyDescent="0.4">
      <c r="A10" s="97" t="s">
        <v>79</v>
      </c>
    </row>
    <row r="12" spans="1:1" x14ac:dyDescent="0.4">
      <c r="A12" s="97" t="s">
        <v>80</v>
      </c>
    </row>
    <row r="13" spans="1:1" x14ac:dyDescent="0.4">
      <c r="A13" s="97" t="s">
        <v>81</v>
      </c>
    </row>
    <row r="15" spans="1:1" x14ac:dyDescent="0.4">
      <c r="A15" s="97" t="s">
        <v>82</v>
      </c>
    </row>
    <row r="16" spans="1:1" x14ac:dyDescent="0.4">
      <c r="A16" s="97" t="s">
        <v>83</v>
      </c>
    </row>
    <row r="17" spans="1:1" x14ac:dyDescent="0.4">
      <c r="A17" s="97" t="s">
        <v>84</v>
      </c>
    </row>
    <row r="18" spans="1:1" x14ac:dyDescent="0.4">
      <c r="A18" s="97" t="s">
        <v>85</v>
      </c>
    </row>
    <row r="19" spans="1:1" x14ac:dyDescent="0.4">
      <c r="A19" s="97" t="s">
        <v>86</v>
      </c>
    </row>
    <row r="20" spans="1:1" x14ac:dyDescent="0.4">
      <c r="A20" s="97" t="s">
        <v>87</v>
      </c>
    </row>
    <row r="21" spans="1:1" x14ac:dyDescent="0.4">
      <c r="A21" s="97" t="s">
        <v>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Transformer </vt:lpstr>
      <vt:lpstr>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Benini</dc:creator>
  <cp:keywords/>
  <dc:description/>
  <cp:lastModifiedBy>Luca Benini</cp:lastModifiedBy>
  <cp:revision/>
  <dcterms:created xsi:type="dcterms:W3CDTF">2024-09-11T18:09:33Z</dcterms:created>
  <dcterms:modified xsi:type="dcterms:W3CDTF">2025-10-12T05:52:45Z</dcterms:modified>
  <cp:category/>
  <cp:contentStatus/>
</cp:coreProperties>
</file>